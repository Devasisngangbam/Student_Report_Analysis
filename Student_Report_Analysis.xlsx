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C2BEDCCA11DB70B/Documents/"/>
    </mc:Choice>
  </mc:AlternateContent>
  <xr:revisionPtr revIDLastSave="0" documentId="8_{47A2D7EF-44C6-41CA-AA74-5E286E8222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7" sheetId="7" r:id="rId5"/>
    <sheet name="Sheet6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1" l="1"/>
  <c r="G54" i="1"/>
  <c r="G58" i="1"/>
  <c r="K3" i="1"/>
  <c r="L3" i="1" s="1"/>
  <c r="K4" i="1"/>
  <c r="L4" i="1" s="1"/>
  <c r="M4" i="1" s="1"/>
  <c r="N4" i="1" s="1"/>
  <c r="K5" i="1"/>
  <c r="L5" i="1" s="1"/>
  <c r="M5" i="1" s="1"/>
  <c r="N5" i="1" s="1"/>
  <c r="K6" i="1"/>
  <c r="L6" i="1" s="1"/>
  <c r="M6" i="1" s="1"/>
  <c r="N6" i="1" s="1"/>
  <c r="K7" i="1"/>
  <c r="L7" i="1" s="1"/>
  <c r="M7" i="1" s="1"/>
  <c r="N7" i="1" s="1"/>
  <c r="K8" i="1"/>
  <c r="L8" i="1" s="1"/>
  <c r="M8" i="1" s="1"/>
  <c r="N8" i="1" s="1"/>
  <c r="K9" i="1"/>
  <c r="L9" i="1" s="1"/>
  <c r="M9" i="1" s="1"/>
  <c r="N9" i="1" s="1"/>
  <c r="K10" i="1"/>
  <c r="L10" i="1" s="1"/>
  <c r="M10" i="1" s="1"/>
  <c r="N10" i="1" s="1"/>
  <c r="K11" i="1"/>
  <c r="L11" i="1" s="1"/>
  <c r="M11" i="1" s="1"/>
  <c r="N11" i="1" s="1"/>
  <c r="K12" i="1"/>
  <c r="L12" i="1" s="1"/>
  <c r="M12" i="1" s="1"/>
  <c r="N12" i="1" s="1"/>
  <c r="K13" i="1"/>
  <c r="L13" i="1" s="1"/>
  <c r="M13" i="1" s="1"/>
  <c r="N13" i="1" s="1"/>
  <c r="K14" i="1"/>
  <c r="L14" i="1" s="1"/>
  <c r="M14" i="1" s="1"/>
  <c r="N14" i="1" s="1"/>
  <c r="K15" i="1"/>
  <c r="L15" i="1" s="1"/>
  <c r="M15" i="1" s="1"/>
  <c r="N15" i="1" s="1"/>
  <c r="K16" i="1"/>
  <c r="L16" i="1" s="1"/>
  <c r="M16" i="1" s="1"/>
  <c r="N16" i="1" s="1"/>
  <c r="K17" i="1"/>
  <c r="L17" i="1" s="1"/>
  <c r="M17" i="1" s="1"/>
  <c r="N17" i="1" s="1"/>
  <c r="K18" i="1"/>
  <c r="L18" i="1" s="1"/>
  <c r="M18" i="1" s="1"/>
  <c r="N18" i="1" s="1"/>
  <c r="K19" i="1"/>
  <c r="L19" i="1" s="1"/>
  <c r="M19" i="1" s="1"/>
  <c r="N19" i="1" s="1"/>
  <c r="K20" i="1"/>
  <c r="L20" i="1" s="1"/>
  <c r="M20" i="1" s="1"/>
  <c r="N20" i="1" s="1"/>
  <c r="K21" i="1"/>
  <c r="L21" i="1" s="1"/>
  <c r="M21" i="1" s="1"/>
  <c r="N21" i="1" s="1"/>
  <c r="K22" i="1"/>
  <c r="L22" i="1" s="1"/>
  <c r="M22" i="1" s="1"/>
  <c r="N22" i="1" s="1"/>
  <c r="K23" i="1"/>
  <c r="L23" i="1" s="1"/>
  <c r="M23" i="1" s="1"/>
  <c r="N23" i="1" s="1"/>
  <c r="K24" i="1"/>
  <c r="L24" i="1" s="1"/>
  <c r="M24" i="1" s="1"/>
  <c r="N24" i="1" s="1"/>
  <c r="K25" i="1"/>
  <c r="L25" i="1" s="1"/>
  <c r="M25" i="1" s="1"/>
  <c r="N25" i="1" s="1"/>
  <c r="K26" i="1"/>
  <c r="L26" i="1" s="1"/>
  <c r="M26" i="1" s="1"/>
  <c r="N26" i="1" s="1"/>
  <c r="K27" i="1"/>
  <c r="L27" i="1" s="1"/>
  <c r="M27" i="1" s="1"/>
  <c r="N27" i="1" s="1"/>
  <c r="K28" i="1"/>
  <c r="L28" i="1" s="1"/>
  <c r="M28" i="1" s="1"/>
  <c r="N28" i="1" s="1"/>
  <c r="K29" i="1"/>
  <c r="L29" i="1" s="1"/>
  <c r="M29" i="1" s="1"/>
  <c r="N29" i="1" s="1"/>
  <c r="K30" i="1"/>
  <c r="L30" i="1" s="1"/>
  <c r="M30" i="1" s="1"/>
  <c r="N30" i="1" s="1"/>
  <c r="K31" i="1"/>
  <c r="L31" i="1" s="1"/>
  <c r="M31" i="1" s="1"/>
  <c r="N31" i="1" s="1"/>
  <c r="K32" i="1"/>
  <c r="L32" i="1" s="1"/>
  <c r="M32" i="1" s="1"/>
  <c r="N32" i="1" s="1"/>
  <c r="K33" i="1"/>
  <c r="L33" i="1" s="1"/>
  <c r="M33" i="1" s="1"/>
  <c r="N33" i="1" s="1"/>
  <c r="K34" i="1"/>
  <c r="L34" i="1" s="1"/>
  <c r="M34" i="1" s="1"/>
  <c r="N34" i="1" s="1"/>
  <c r="K35" i="1"/>
  <c r="L35" i="1" s="1"/>
  <c r="M35" i="1" s="1"/>
  <c r="N35" i="1" s="1"/>
  <c r="K36" i="1"/>
  <c r="L36" i="1" s="1"/>
  <c r="M36" i="1" s="1"/>
  <c r="N36" i="1" s="1"/>
  <c r="K37" i="1"/>
  <c r="L37" i="1" s="1"/>
  <c r="M37" i="1" s="1"/>
  <c r="N37" i="1" s="1"/>
  <c r="K38" i="1"/>
  <c r="L38" i="1" s="1"/>
  <c r="M38" i="1" s="1"/>
  <c r="N38" i="1" s="1"/>
  <c r="K39" i="1"/>
  <c r="L39" i="1" s="1"/>
  <c r="M39" i="1" s="1"/>
  <c r="N39" i="1" s="1"/>
  <c r="K40" i="1"/>
  <c r="L40" i="1" s="1"/>
  <c r="M40" i="1" s="1"/>
  <c r="N40" i="1" s="1"/>
  <c r="K41" i="1"/>
  <c r="L41" i="1" s="1"/>
  <c r="M41" i="1" s="1"/>
  <c r="N41" i="1" s="1"/>
  <c r="K42" i="1"/>
  <c r="L42" i="1" s="1"/>
  <c r="M42" i="1" s="1"/>
  <c r="N42" i="1" s="1"/>
  <c r="K43" i="1"/>
  <c r="L43" i="1" s="1"/>
  <c r="M43" i="1" s="1"/>
  <c r="N43" i="1" s="1"/>
  <c r="K44" i="1"/>
  <c r="L44" i="1" s="1"/>
  <c r="M44" i="1" s="1"/>
  <c r="N44" i="1" s="1"/>
  <c r="K45" i="1"/>
  <c r="L45" i="1" s="1"/>
  <c r="M45" i="1" s="1"/>
  <c r="N45" i="1" s="1"/>
  <c r="K46" i="1"/>
  <c r="L46" i="1" s="1"/>
  <c r="M46" i="1" s="1"/>
  <c r="N46" i="1" s="1"/>
  <c r="K47" i="1"/>
  <c r="L47" i="1" s="1"/>
  <c r="M47" i="1" s="1"/>
  <c r="N47" i="1" s="1"/>
  <c r="K48" i="1"/>
  <c r="L48" i="1" s="1"/>
  <c r="M48" i="1" s="1"/>
  <c r="N48" i="1" s="1"/>
  <c r="K49" i="1"/>
  <c r="L49" i="1" s="1"/>
  <c r="M49" i="1" s="1"/>
  <c r="N49" i="1" s="1"/>
  <c r="K50" i="1"/>
  <c r="L50" i="1" s="1"/>
  <c r="M50" i="1" s="1"/>
  <c r="N50" i="1" s="1"/>
  <c r="K51" i="1"/>
  <c r="L51" i="1" s="1"/>
  <c r="M51" i="1" s="1"/>
  <c r="N51" i="1" s="1"/>
  <c r="K2" i="1"/>
  <c r="L2" i="1" s="1"/>
  <c r="G61" i="1" l="1"/>
  <c r="G57" i="1"/>
  <c r="G60" i="1"/>
  <c r="M3" i="1"/>
  <c r="N3" i="1" s="1"/>
  <c r="M2" i="1"/>
  <c r="N2" i="1" s="1"/>
  <c r="G55" i="1" l="1"/>
  <c r="G59" i="1" s="1"/>
</calcChain>
</file>

<file path=xl/sharedStrings.xml><?xml version="1.0" encoding="utf-8"?>
<sst xmlns="http://schemas.openxmlformats.org/spreadsheetml/2006/main" count="245" uniqueCount="111">
  <si>
    <t>Student ID</t>
  </si>
  <si>
    <t>Student Name</t>
  </si>
  <si>
    <t>Gender</t>
  </si>
  <si>
    <t>Attendance (%)</t>
  </si>
  <si>
    <t>Operating System</t>
  </si>
  <si>
    <t>Mathematics</t>
  </si>
  <si>
    <t>Computer Programming</t>
  </si>
  <si>
    <t>Fundamental of Data Science</t>
  </si>
  <si>
    <t>Internet Ethics</t>
  </si>
  <si>
    <t>Internal Marks</t>
  </si>
  <si>
    <t>Total</t>
  </si>
  <si>
    <t>CGPA</t>
  </si>
  <si>
    <t>Grade</t>
  </si>
  <si>
    <t>Qualification</t>
  </si>
  <si>
    <t>S001</t>
  </si>
  <si>
    <t>Asha</t>
  </si>
  <si>
    <t>F</t>
  </si>
  <si>
    <t>S002</t>
  </si>
  <si>
    <t>Ravi</t>
  </si>
  <si>
    <t>M</t>
  </si>
  <si>
    <t>S003</t>
  </si>
  <si>
    <t>Meena</t>
  </si>
  <si>
    <t>S004</t>
  </si>
  <si>
    <t>Karan</t>
  </si>
  <si>
    <t>S005</t>
  </si>
  <si>
    <t>Pooja</t>
  </si>
  <si>
    <t>S006</t>
  </si>
  <si>
    <t>Dev</t>
  </si>
  <si>
    <t>S007</t>
  </si>
  <si>
    <t>Nita</t>
  </si>
  <si>
    <t>S008</t>
  </si>
  <si>
    <t>Rehan</t>
  </si>
  <si>
    <t>S009</t>
  </si>
  <si>
    <t>Sanjay</t>
  </si>
  <si>
    <t>S010</t>
  </si>
  <si>
    <t>Tara</t>
  </si>
  <si>
    <t>S011</t>
  </si>
  <si>
    <t>Vikram</t>
  </si>
  <si>
    <t>S012</t>
  </si>
  <si>
    <t>Arjun</t>
  </si>
  <si>
    <t>S013</t>
  </si>
  <si>
    <t>Priya</t>
  </si>
  <si>
    <t>S014</t>
  </si>
  <si>
    <t>Kavya</t>
  </si>
  <si>
    <t>S015</t>
  </si>
  <si>
    <t>S016</t>
  </si>
  <si>
    <t>Manish</t>
  </si>
  <si>
    <t>S017</t>
  </si>
  <si>
    <t>S018</t>
  </si>
  <si>
    <t>Neha</t>
  </si>
  <si>
    <t>S019</t>
  </si>
  <si>
    <t>S020</t>
  </si>
  <si>
    <t>S021</t>
  </si>
  <si>
    <t>S022</t>
  </si>
  <si>
    <t>Rohan</t>
  </si>
  <si>
    <t>S023</t>
  </si>
  <si>
    <t>S024</t>
  </si>
  <si>
    <t>S025</t>
  </si>
  <si>
    <t>S026</t>
  </si>
  <si>
    <t>S027</t>
  </si>
  <si>
    <t>S028</t>
  </si>
  <si>
    <t>Sneha</t>
  </si>
  <si>
    <t>S029</t>
  </si>
  <si>
    <t>Rita</t>
  </si>
  <si>
    <t>S030</t>
  </si>
  <si>
    <t>S031</t>
  </si>
  <si>
    <t>Anita</t>
  </si>
  <si>
    <t>S032</t>
  </si>
  <si>
    <t>Simran</t>
  </si>
  <si>
    <t>S033</t>
  </si>
  <si>
    <t>S034</t>
  </si>
  <si>
    <t>S035</t>
  </si>
  <si>
    <t>S036</t>
  </si>
  <si>
    <t>S037</t>
  </si>
  <si>
    <t>S038</t>
  </si>
  <si>
    <t>S039</t>
  </si>
  <si>
    <t>Divya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</si>
  <si>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</si>
  <si>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</si>
  <si>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</si>
  <si>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</si>
  <si>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</si>
  <si>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</si>
  <si>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</si>
  <si>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</si>
  <si>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</si>
  <si>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</si>
  <si>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Ajay</t>
  </si>
  <si>
    <t>S050</t>
  </si>
  <si>
    <t>TOTAL STUDENT</t>
  </si>
  <si>
    <t>TOTAL STUDENT PASSED</t>
  </si>
  <si>
    <t>TOTAL STUDENT FAILED</t>
  </si>
  <si>
    <t>AVERAGE CGPA</t>
  </si>
  <si>
    <t>AVERAGE ATTENDANCE</t>
  </si>
  <si>
    <t>PASS PERCENTAGE</t>
  </si>
  <si>
    <t>AVERAGE CGPA OF MALE STUDENT</t>
  </si>
  <si>
    <t>AVERAGE CGPA OF FEMALE STUDENT</t>
  </si>
  <si>
    <t>Attendance Range</t>
  </si>
  <si>
    <t>&lt;70%</t>
  </si>
  <si>
    <t>70-80%</t>
  </si>
  <si>
    <t>80-90%</t>
  </si>
  <si>
    <t>90-100%</t>
  </si>
  <si>
    <t xml:space="preserve">Grade </t>
  </si>
  <si>
    <t>Grade Count</t>
  </si>
  <si>
    <t>A</t>
  </si>
  <si>
    <t>B</t>
  </si>
  <si>
    <t>C</t>
  </si>
  <si>
    <t>D</t>
  </si>
  <si>
    <t>E</t>
  </si>
  <si>
    <t>Actual (1=Pass)</t>
  </si>
  <si>
    <t>Predicted (≥75%)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</si>
</sst>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0" xfId="0" applyAlignme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PASS VS FAIL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11C9-4D8D-B2AB-615E84ECAF3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11C9-4D8D-B2AB-615E84ECAF37}"/>
              </c:ext>
            </c:extLst>
          </c:dPt>
          <c:cat>
            <c:strRef>
              <c:f>Sheet2!$A$2:$A$3</c:f>
              <c:strCache>
                <c:ptCount val="2"/>
                <c:pt idx="0">
                  <c:v>TOTAL STUDENT PASSED</c:v>
                </c:pt>
                <c:pt idx="1">
                  <c:v>TOTAL STUDENT FAILED</c:v>
                </c:pt>
              </c:strCache>
            </c:strRef>
          </c:cat>
          <c:val>
            <c:numRef>
              <c:f>Sheet2!$B$2:$B$3</c:f>
              <c:numCache>
                <c:formatCode>General</c:formatCode>
                <c:ptCount val="2"/>
                <c:pt idx="0">
                  <c:v>20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1-4E94-9D7A-26C618C50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ATTANDANCE VS CGPA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330927384076996E-2"/>
          <c:y val="0.18199074074074076"/>
          <c:w val="0.88389129483814521"/>
          <c:h val="0.71523950131233593"/>
        </c:manualLayout>
      </c:layout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CGPA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cat>
            <c:strRef>
              <c:f>Sheet3!$A$2:$A$5</c:f>
              <c:strCache>
                <c:ptCount val="4"/>
                <c:pt idx="0">
                  <c:v>&lt;70%</c:v>
                </c:pt>
                <c:pt idx="1">
                  <c:v>70-80%</c:v>
                </c:pt>
                <c:pt idx="2">
                  <c:v>80-90%</c:v>
                </c:pt>
                <c:pt idx="3">
                  <c:v>90-100%</c:v>
                </c:pt>
              </c:strCache>
            </c:strRef>
          </c:cat>
          <c:val>
            <c:numRef>
              <c:f>Sheet3!$B$2:$B$5</c:f>
              <c:numCache>
                <c:formatCode>General</c:formatCode>
                <c:ptCount val="4"/>
                <c:pt idx="0">
                  <c:v>4.96</c:v>
                </c:pt>
                <c:pt idx="1">
                  <c:v>4.8336842105263162</c:v>
                </c:pt>
                <c:pt idx="2">
                  <c:v>4.8899999999999997</c:v>
                </c:pt>
                <c:pt idx="3">
                  <c:v>5.1314285714285717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BA-4459-B54D-AC5A4FEF9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026144639"/>
        <c:axId val="2026124959"/>
      </c:lineChart>
      <c:catAx>
        <c:axId val="202614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124959"/>
        <c:crosses val="autoZero"/>
        <c:auto val="1"/>
        <c:lblAlgn val="ctr"/>
        <c:lblOffset val="100"/>
        <c:noMultiLvlLbl val="0"/>
      </c:catAx>
      <c:valAx>
        <c:axId val="2026124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14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Grade 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Sheet4!$A$2:$A$7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Sheet4!$B$2:$B$7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14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4-406D-A73D-ED0129CA19C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44100319"/>
        <c:axId val="344098399"/>
      </c:barChart>
      <c:catAx>
        <c:axId val="34410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098399"/>
        <c:crosses val="autoZero"/>
        <c:auto val="1"/>
        <c:lblAlgn val="ctr"/>
        <c:lblOffset val="100"/>
        <c:noMultiLvlLbl val="0"/>
      </c:catAx>
      <c:valAx>
        <c:axId val="34409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10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Attendance vs Pass/Fail Prediction (75%)</a:t>
            </a:r>
            <a:endParaRPr lang="en-IN" sz="18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Attendance (%)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Sheet7!$A$2:$A$51</c:f>
              <c:strCache>
                <c:ptCount val="5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  <c:pt idx="30">
                  <c:v>S031</c:v>
                </c:pt>
                <c:pt idx="31">
                  <c:v>S032</c:v>
                </c:pt>
                <c:pt idx="32">
                  <c:v>S033</c:v>
                </c:pt>
                <c:pt idx="33">
                  <c:v>S034</c:v>
                </c:pt>
                <c:pt idx="34">
                  <c:v>S035</c:v>
                </c:pt>
                <c:pt idx="35">
                  <c:v>S036</c:v>
                </c:pt>
                <c:pt idx="36">
                  <c:v>S037</c:v>
                </c:pt>
                <c:pt idx="37">
                  <c:v>S038</c:v>
                </c:pt>
                <c:pt idx="38">
                  <c:v>S039</c:v>
                </c:pt>
                <c:pt idx="39">
                  <c:v>S040</c:v>
                </c:pt>
                <c:pt idx="40">
                  <c:v>S041</c:v>
                </c:pt>
                <c:pt idx="41">
                  <c:v>S042</c:v>
                </c:pt>
                <c:pt idx="42">
                  <c:v>S043</c:v>
                </c:pt>
                <c:pt idx="43">
                  <c:v>S044</c:v>
                </c:pt>
                <c:pt idx="44">
                  <c:v>S045</c:v>
                </c:pt>
                <c:pt idx="45">
                  <c:v>S046</c:v>
                </c:pt>
                <c:pt idx="46">
                  <c:v>S047</c:v>
                </c:pt>
                <c:pt idx="47">
                  <c:v>S048</c:v>
                </c:pt>
                <c:pt idx="48">
                  <c:v>S049</c:v>
                </c:pt>
                <c:pt idx="49">
                  <c:v>S050</c:v>
                </c:pt>
              </c:strCache>
            </c:strRef>
          </c:cat>
          <c:val>
            <c:numRef>
              <c:f>Sheet7!$B$2:$B$51</c:f>
              <c:numCache>
                <c:formatCode>General</c:formatCode>
                <c:ptCount val="50"/>
                <c:pt idx="0">
                  <c:v>90.8</c:v>
                </c:pt>
                <c:pt idx="1">
                  <c:v>75</c:v>
                </c:pt>
                <c:pt idx="2">
                  <c:v>75</c:v>
                </c:pt>
                <c:pt idx="3">
                  <c:v>76</c:v>
                </c:pt>
                <c:pt idx="4">
                  <c:v>100</c:v>
                </c:pt>
                <c:pt idx="5">
                  <c:v>80</c:v>
                </c:pt>
                <c:pt idx="6">
                  <c:v>75</c:v>
                </c:pt>
                <c:pt idx="7">
                  <c:v>75</c:v>
                </c:pt>
                <c:pt idx="8">
                  <c:v>80</c:v>
                </c:pt>
                <c:pt idx="9">
                  <c:v>75</c:v>
                </c:pt>
                <c:pt idx="10">
                  <c:v>89</c:v>
                </c:pt>
                <c:pt idx="11">
                  <c:v>73</c:v>
                </c:pt>
                <c:pt idx="12">
                  <c:v>90</c:v>
                </c:pt>
                <c:pt idx="13">
                  <c:v>77</c:v>
                </c:pt>
                <c:pt idx="14">
                  <c:v>80</c:v>
                </c:pt>
                <c:pt idx="15">
                  <c:v>97</c:v>
                </c:pt>
                <c:pt idx="16">
                  <c:v>94</c:v>
                </c:pt>
                <c:pt idx="17">
                  <c:v>96</c:v>
                </c:pt>
                <c:pt idx="18">
                  <c:v>70</c:v>
                </c:pt>
                <c:pt idx="19">
                  <c:v>78</c:v>
                </c:pt>
                <c:pt idx="20">
                  <c:v>94</c:v>
                </c:pt>
                <c:pt idx="21">
                  <c:v>95</c:v>
                </c:pt>
                <c:pt idx="22">
                  <c:v>82</c:v>
                </c:pt>
                <c:pt idx="23">
                  <c:v>100</c:v>
                </c:pt>
                <c:pt idx="24">
                  <c:v>87</c:v>
                </c:pt>
                <c:pt idx="25">
                  <c:v>83</c:v>
                </c:pt>
                <c:pt idx="26">
                  <c:v>83</c:v>
                </c:pt>
                <c:pt idx="27">
                  <c:v>85</c:v>
                </c:pt>
                <c:pt idx="28">
                  <c:v>89</c:v>
                </c:pt>
                <c:pt idx="29">
                  <c:v>90</c:v>
                </c:pt>
                <c:pt idx="30">
                  <c:v>71</c:v>
                </c:pt>
                <c:pt idx="31">
                  <c:v>91</c:v>
                </c:pt>
                <c:pt idx="32">
                  <c:v>84</c:v>
                </c:pt>
                <c:pt idx="33">
                  <c:v>95</c:v>
                </c:pt>
                <c:pt idx="34">
                  <c:v>91</c:v>
                </c:pt>
                <c:pt idx="35">
                  <c:v>94</c:v>
                </c:pt>
                <c:pt idx="36">
                  <c:v>81</c:v>
                </c:pt>
                <c:pt idx="37">
                  <c:v>84</c:v>
                </c:pt>
                <c:pt idx="38">
                  <c:v>77</c:v>
                </c:pt>
                <c:pt idx="39">
                  <c:v>88</c:v>
                </c:pt>
                <c:pt idx="40">
                  <c:v>78</c:v>
                </c:pt>
                <c:pt idx="41">
                  <c:v>71</c:v>
                </c:pt>
                <c:pt idx="42">
                  <c:v>90</c:v>
                </c:pt>
                <c:pt idx="43">
                  <c:v>89</c:v>
                </c:pt>
                <c:pt idx="44">
                  <c:v>77</c:v>
                </c:pt>
                <c:pt idx="45">
                  <c:v>80</c:v>
                </c:pt>
                <c:pt idx="46">
                  <c:v>80</c:v>
                </c:pt>
                <c:pt idx="47">
                  <c:v>94</c:v>
                </c:pt>
                <c:pt idx="48">
                  <c:v>95</c:v>
                </c:pt>
                <c:pt idx="49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C1-4263-B42D-2D0A9C7089AF}"/>
            </c:ext>
          </c:extLst>
        </c:ser>
        <c:ser>
          <c:idx val="1"/>
          <c:order val="1"/>
          <c:tx>
            <c:strRef>
              <c:f>Sheet7!$C$1</c:f>
              <c:strCache>
                <c:ptCount val="1"/>
                <c:pt idx="0">
                  <c:v>Actual (1=Pass)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Sheet7!$A$2:$A$51</c:f>
              <c:strCache>
                <c:ptCount val="5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  <c:pt idx="30">
                  <c:v>S031</c:v>
                </c:pt>
                <c:pt idx="31">
                  <c:v>S032</c:v>
                </c:pt>
                <c:pt idx="32">
                  <c:v>S033</c:v>
                </c:pt>
                <c:pt idx="33">
                  <c:v>S034</c:v>
                </c:pt>
                <c:pt idx="34">
                  <c:v>S035</c:v>
                </c:pt>
                <c:pt idx="35">
                  <c:v>S036</c:v>
                </c:pt>
                <c:pt idx="36">
                  <c:v>S037</c:v>
                </c:pt>
                <c:pt idx="37">
                  <c:v>S038</c:v>
                </c:pt>
                <c:pt idx="38">
                  <c:v>S039</c:v>
                </c:pt>
                <c:pt idx="39">
                  <c:v>S040</c:v>
                </c:pt>
                <c:pt idx="40">
                  <c:v>S041</c:v>
                </c:pt>
                <c:pt idx="41">
                  <c:v>S042</c:v>
                </c:pt>
                <c:pt idx="42">
                  <c:v>S043</c:v>
                </c:pt>
                <c:pt idx="43">
                  <c:v>S044</c:v>
                </c:pt>
                <c:pt idx="44">
                  <c:v>S045</c:v>
                </c:pt>
                <c:pt idx="45">
                  <c:v>S046</c:v>
                </c:pt>
                <c:pt idx="46">
                  <c:v>S047</c:v>
                </c:pt>
                <c:pt idx="47">
                  <c:v>S048</c:v>
                </c:pt>
                <c:pt idx="48">
                  <c:v>S049</c:v>
                </c:pt>
                <c:pt idx="49">
                  <c:v>S050</c:v>
                </c:pt>
              </c:strCache>
            </c:strRef>
          </c:cat>
          <c:val>
            <c:numRef>
              <c:f>Sheet7!$C$2:$C$51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C1-4263-B42D-2D0A9C7089AF}"/>
            </c:ext>
          </c:extLst>
        </c:ser>
        <c:ser>
          <c:idx val="2"/>
          <c:order val="2"/>
          <c:tx>
            <c:strRef>
              <c:f>Sheet7!$D$1</c:f>
              <c:strCache>
                <c:ptCount val="1"/>
                <c:pt idx="0">
                  <c:v>Predicted (≥75%)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Sheet7!$A$2:$A$51</c:f>
              <c:strCache>
                <c:ptCount val="5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  <c:pt idx="30">
                  <c:v>S031</c:v>
                </c:pt>
                <c:pt idx="31">
                  <c:v>S032</c:v>
                </c:pt>
                <c:pt idx="32">
                  <c:v>S033</c:v>
                </c:pt>
                <c:pt idx="33">
                  <c:v>S034</c:v>
                </c:pt>
                <c:pt idx="34">
                  <c:v>S035</c:v>
                </c:pt>
                <c:pt idx="35">
                  <c:v>S036</c:v>
                </c:pt>
                <c:pt idx="36">
                  <c:v>S037</c:v>
                </c:pt>
                <c:pt idx="37">
                  <c:v>S038</c:v>
                </c:pt>
                <c:pt idx="38">
                  <c:v>S039</c:v>
                </c:pt>
                <c:pt idx="39">
                  <c:v>S040</c:v>
                </c:pt>
                <c:pt idx="40">
                  <c:v>S041</c:v>
                </c:pt>
                <c:pt idx="41">
                  <c:v>S042</c:v>
                </c:pt>
                <c:pt idx="42">
                  <c:v>S043</c:v>
                </c:pt>
                <c:pt idx="43">
                  <c:v>S044</c:v>
                </c:pt>
                <c:pt idx="44">
                  <c:v>S045</c:v>
                </c:pt>
                <c:pt idx="45">
                  <c:v>S046</c:v>
                </c:pt>
                <c:pt idx="46">
                  <c:v>S047</c:v>
                </c:pt>
                <c:pt idx="47">
                  <c:v>S048</c:v>
                </c:pt>
                <c:pt idx="48">
                  <c:v>S049</c:v>
                </c:pt>
                <c:pt idx="49">
                  <c:v>S050</c:v>
                </c:pt>
              </c:strCache>
            </c:strRef>
          </c:cat>
          <c:val>
            <c:numRef>
              <c:f>Sheet7!$D$2:$D$51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C1-4263-B42D-2D0A9C708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7766607"/>
        <c:axId val="1687768047"/>
      </c:lineChart>
      <c:catAx>
        <c:axId val="168776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768047"/>
        <c:crosses val="autoZero"/>
        <c:auto val="1"/>
        <c:lblAlgn val="ctr"/>
        <c:lblOffset val="100"/>
        <c:noMultiLvlLbl val="0"/>
      </c:catAx>
      <c:valAx>
        <c:axId val="168776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76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Sheet6!$A$1:$A$2</c:f>
              <c:strCache>
                <c:ptCount val="2"/>
                <c:pt idx="0">
                  <c:v>AVERAGE CGPA OF MALE STUDENT</c:v>
                </c:pt>
                <c:pt idx="1">
                  <c:v>AVERAGE CGPA OF FEMALE STUDENT</c:v>
                </c:pt>
              </c:strCache>
            </c:strRef>
          </c:cat>
          <c:val>
            <c:numRef>
              <c:f>Sheet6!$B$1:$B$2</c:f>
              <c:numCache>
                <c:formatCode>General</c:formatCode>
                <c:ptCount val="2"/>
                <c:pt idx="0">
                  <c:v>4.8823999999999996</c:v>
                </c:pt>
                <c:pt idx="1">
                  <c:v>4.9927999999999999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1-4755-90DE-701E51BB3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6006719"/>
        <c:axId val="1616004799"/>
        <c:axId val="0"/>
      </c:bar3DChart>
      <c:catAx>
        <c:axId val="161600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004799"/>
        <c:crosses val="autoZero"/>
        <c:auto val="1"/>
        <c:lblAlgn val="ctr"/>
        <c:lblOffset val="100"/>
        <c:noMultiLvlLbl val="0"/>
      </c:catAx>
      <c:valAx>
        <c:axId val="161600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00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3</xdr:row>
      <xdr:rowOff>133350</xdr:rowOff>
    </xdr:from>
    <xdr:to>
      <xdr:col>4</xdr:col>
      <xdr:colOff>38100</xdr:colOff>
      <xdr:row>18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68BE93-5657-AC4C-CD09-13F1FB8CB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5</xdr:row>
      <xdr:rowOff>68580</xdr:rowOff>
    </xdr:from>
    <xdr:to>
      <xdr:col>10</xdr:col>
      <xdr:colOff>365760</xdr:colOff>
      <xdr:row>20</xdr:row>
      <xdr:rowOff>68580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9A5D8422-6F35-DA1C-D554-C411F480F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6</xdr:row>
      <xdr:rowOff>41910</xdr:rowOff>
    </xdr:from>
    <xdr:to>
      <xdr:col>12</xdr:col>
      <xdr:colOff>312420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50E7AC-967B-A31A-8316-CFB5B51CD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632460</xdr:colOff>
      <xdr:row>2</xdr:row>
      <xdr:rowOff>156210</xdr:rowOff>
    </xdr:from>
    <xdr:to>
      <xdr:col>11</xdr:col>
      <xdr:colOff>403860</xdr:colOff>
      <xdr:row>17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84A77F-2FA1-6CDD-3B7D-411203E1B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312420</xdr:colOff>
      <xdr:row>6</xdr:row>
      <xdr:rowOff>41910</xdr:rowOff>
    </xdr:from>
    <xdr:to>
      <xdr:col>10</xdr:col>
      <xdr:colOff>15240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90F728-A7B9-CCB2-1A3D-8AEC3D10E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C570EE-B59C-4D4F-A4B4-5FE71404D062}" name="Table1" displayName="Table1" ref="A1:N51" totalsRowShown="0" headerRowDxfId="2" headerRowBorderDxfId="0" tableBorderDxfId="1">
  <autoFilter ref="A1:N51" xr:uid="{EBC570EE-B59C-4D4F-A4B4-5FE71404D062}"/>
  <tableColumns count="14">
    <tableColumn id="1" xr3:uid="{36AA9AB2-A114-4A90-9B21-117F3CF875CC}" name="Student ID"/>
    <tableColumn id="2" xr3:uid="{27621A8E-1328-4111-8724-D3365EF657A8}" name="Student Name"/>
    <tableColumn id="3" xr3:uid="{EC4013A9-B217-44CB-950B-1BAEA542D960}" name="Gender"/>
    <tableColumn id="4" xr3:uid="{2AF409DD-D1BB-4865-BF5E-46CBD4FD223F}" name="Attendance (%)"/>
    <tableColumn id="5" xr3:uid="{8F88699D-6A93-4685-8568-FDD7A65F3AF1}" name="Operating System"/>
    <tableColumn id="6" xr3:uid="{F7E1EE57-CDD3-47D5-9EA5-0E8DB7D1888E}" name="Mathematics"/>
    <tableColumn id="7" xr3:uid="{58292686-9305-4A8B-AF62-2A5A194F18F0}" name="Computer Programming"/>
    <tableColumn id="8" xr3:uid="{FD25000E-8AF9-4CAA-917B-CF81D1266F66}" name="Fundamental of Data Science"/>
    <tableColumn id="9" xr3:uid="{EDC63427-AFFF-4AA3-92C5-642F5FEC2200}" name="Internet Ethics"/>
    <tableColumn id="10" xr3:uid="{BA3729F8-2F01-41DA-958B-037543EE7985}" name="Internal Marks"/>
    <tableColumn id="11" xr3:uid="{0F2690A7-A0E6-41E8-AC96-1B17832AA021}" name="Total">
      <calculatedColumnFormula>SUM(E2:J2)</calculatedColumnFormula>
    </tableColumn>
    <tableColumn id="12" xr3:uid="{C9463825-C1FD-4214-A844-F6007AA321E6}" name="CGPA">
      <calculatedColumnFormula>K2/500*100/10</calculatedColumnFormula>
    </tableColumn>
    <tableColumn id="13" xr3:uid="{484BFE39-B858-4487-A01E-9DA1CE7A4141}" name="Grade">
      <calculatedColumnFormula>IF(L2&gt;=9,"A",IF(L2&gt;=8,"B",IF(L2&gt;=7,"C",IF(L2&gt;=6,"D",IF(L2&gt;=5,"E",IF(L2&gt;=0,"F"))))))</calculatedColumnFormula>
    </tableColumn>
    <tableColumn id="14" xr3:uid="{170F1080-8BA9-47CA-A9E8-B6185C6C508A}" name="Qualification">
      <calculatedColumnFormula>IF(M2="F","FAIL","PASS")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topLeftCell="A39" zoomScale="68" zoomScaleNormal="99" workbookViewId="0">
      <selection activeCell="H59" sqref="H59"/>
    </sheetView>
  </sheetViews>
  <sheetFormatPr defaultRowHeight="14.45"/>
  <cols>
    <col min="1" max="1" width="12.42578125" customWidth="1"/>
    <col min="2" max="2" width="16" customWidth="1"/>
    <col min="3" max="3" width="9.7109375" customWidth="1"/>
    <col min="4" max="4" width="16.7109375" customWidth="1"/>
    <col min="5" max="5" width="19" customWidth="1"/>
    <col min="6" max="6" width="14.5703125" customWidth="1"/>
    <col min="7" max="7" width="24.7109375" customWidth="1"/>
    <col min="8" max="8" width="28.5703125" customWidth="1"/>
    <col min="9" max="9" width="16" customWidth="1"/>
    <col min="10" max="10" width="15.85546875" customWidth="1"/>
    <col min="14" max="14" width="14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>
        <v>90.8</v>
      </c>
      <c r="E2">
        <v>58</v>
      </c>
      <c r="F2">
        <v>58</v>
      </c>
      <c r="G2">
        <v>58</v>
      </c>
      <c r="H2">
        <v>58</v>
      </c>
      <c r="I2">
        <v>58</v>
      </c>
      <c r="J2">
        <v>40</v>
      </c>
      <c r="K2">
        <f>SUM(E2:J2)</f>
        <v>330</v>
      </c>
      <c r="L2">
        <f>K2/500*100/10</f>
        <v>6.6</v>
      </c>
      <c r="M2" t="str">
        <f>IF(L2&gt;=9,"A",IF(L2&gt;=8,"B",IF(L2&gt;=7,"C",IF(L2&gt;=6,"D",IF(L2&gt;=5,"E",IF(L2&gt;=0,"F"))))))</f>
        <v>D</v>
      </c>
      <c r="N2" t="str">
        <f>IF(M2="F","FAIL","PASS")</f>
        <v>PASS</v>
      </c>
    </row>
    <row r="3" spans="1:14">
      <c r="A3" t="s">
        <v>17</v>
      </c>
      <c r="B3" t="s">
        <v>18</v>
      </c>
      <c r="C3" t="s">
        <v>19</v>
      </c>
      <c r="D3">
        <v>75</v>
      </c>
      <c r="E3">
        <v>48</v>
      </c>
      <c r="F3">
        <v>48</v>
      </c>
      <c r="G3">
        <v>48</v>
      </c>
      <c r="H3">
        <v>48</v>
      </c>
      <c r="I3">
        <v>48</v>
      </c>
      <c r="J3">
        <v>32</v>
      </c>
      <c r="K3">
        <f t="shared" ref="K3:K51" si="0">SUM(E3:J3)</f>
        <v>272</v>
      </c>
      <c r="L3">
        <f t="shared" ref="L3:L51" si="1">K3/500*100/10</f>
        <v>5.44</v>
      </c>
      <c r="M3" t="str">
        <f t="shared" ref="M3:M51" si="2">IF(L3&gt;=9,"A",IF(L3&gt;=8,"B",IF(L3&gt;=7,"C",IF(L3&gt;=6,"D",IF(L3&gt;=5,"E",IF(L3&gt;=0,"F"))))))</f>
        <v>E</v>
      </c>
      <c r="N3" t="str">
        <f t="shared" ref="N3:N51" si="3">IF(M3="F","FAIL","PASS")</f>
        <v>PASS</v>
      </c>
    </row>
    <row r="4" spans="1:14">
      <c r="A4" t="s">
        <v>20</v>
      </c>
      <c r="B4" t="s">
        <v>21</v>
      </c>
      <c r="C4" t="s">
        <v>16</v>
      </c>
      <c r="D4">
        <v>75</v>
      </c>
      <c r="E4">
        <v>45</v>
      </c>
      <c r="F4">
        <v>45</v>
      </c>
      <c r="G4">
        <v>45</v>
      </c>
      <c r="H4">
        <v>45</v>
      </c>
      <c r="I4">
        <v>45</v>
      </c>
      <c r="J4">
        <v>31</v>
      </c>
      <c r="K4">
        <f t="shared" si="0"/>
        <v>256</v>
      </c>
      <c r="L4">
        <f t="shared" si="1"/>
        <v>5.12</v>
      </c>
      <c r="M4" t="str">
        <f t="shared" si="2"/>
        <v>E</v>
      </c>
      <c r="N4" t="str">
        <f t="shared" si="3"/>
        <v>PASS</v>
      </c>
    </row>
    <row r="5" spans="1:14">
      <c r="A5" t="s">
        <v>22</v>
      </c>
      <c r="B5" t="s">
        <v>23</v>
      </c>
      <c r="C5" t="s">
        <v>19</v>
      </c>
      <c r="D5">
        <v>76</v>
      </c>
      <c r="E5">
        <v>50</v>
      </c>
      <c r="F5">
        <v>50</v>
      </c>
      <c r="G5">
        <v>50</v>
      </c>
      <c r="H5">
        <v>50</v>
      </c>
      <c r="I5">
        <v>50</v>
      </c>
      <c r="J5">
        <v>34</v>
      </c>
      <c r="K5">
        <f t="shared" si="0"/>
        <v>284</v>
      </c>
      <c r="L5">
        <f t="shared" si="1"/>
        <v>5.68</v>
      </c>
      <c r="M5" t="str">
        <f t="shared" si="2"/>
        <v>E</v>
      </c>
      <c r="N5" t="str">
        <f t="shared" si="3"/>
        <v>PASS</v>
      </c>
    </row>
    <row r="6" spans="1:14">
      <c r="A6" t="s">
        <v>24</v>
      </c>
      <c r="B6" t="s">
        <v>25</v>
      </c>
      <c r="C6" t="s">
        <v>16</v>
      </c>
      <c r="D6">
        <v>100</v>
      </c>
      <c r="E6">
        <v>51</v>
      </c>
      <c r="F6">
        <v>51</v>
      </c>
      <c r="G6">
        <v>51</v>
      </c>
      <c r="H6">
        <v>51</v>
      </c>
      <c r="I6">
        <v>51</v>
      </c>
      <c r="J6">
        <v>29</v>
      </c>
      <c r="K6">
        <f t="shared" si="0"/>
        <v>284</v>
      </c>
      <c r="L6">
        <f t="shared" si="1"/>
        <v>5.68</v>
      </c>
      <c r="M6" t="str">
        <f t="shared" si="2"/>
        <v>E</v>
      </c>
      <c r="N6" t="str">
        <f t="shared" si="3"/>
        <v>PASS</v>
      </c>
    </row>
    <row r="7" spans="1:14">
      <c r="A7" t="s">
        <v>26</v>
      </c>
      <c r="B7" t="s">
        <v>27</v>
      </c>
      <c r="C7" t="s">
        <v>19</v>
      </c>
      <c r="D7">
        <v>80</v>
      </c>
      <c r="E7">
        <v>30</v>
      </c>
      <c r="F7">
        <v>30</v>
      </c>
      <c r="G7">
        <v>30</v>
      </c>
      <c r="H7">
        <v>30</v>
      </c>
      <c r="I7">
        <v>30</v>
      </c>
      <c r="J7">
        <v>27</v>
      </c>
      <c r="K7">
        <f t="shared" si="0"/>
        <v>177</v>
      </c>
      <c r="L7">
        <f t="shared" si="1"/>
        <v>3.54</v>
      </c>
      <c r="M7" t="str">
        <f t="shared" si="2"/>
        <v>F</v>
      </c>
      <c r="N7" t="str">
        <f t="shared" si="3"/>
        <v>FAIL</v>
      </c>
    </row>
    <row r="8" spans="1:14">
      <c r="A8" t="s">
        <v>28</v>
      </c>
      <c r="B8" t="s">
        <v>29</v>
      </c>
      <c r="C8" t="s">
        <v>16</v>
      </c>
      <c r="D8">
        <v>75</v>
      </c>
      <c r="E8">
        <v>35</v>
      </c>
      <c r="F8">
        <v>35</v>
      </c>
      <c r="G8">
        <v>35</v>
      </c>
      <c r="H8">
        <v>35</v>
      </c>
      <c r="I8">
        <v>35</v>
      </c>
      <c r="J8">
        <v>21</v>
      </c>
      <c r="K8">
        <f t="shared" si="0"/>
        <v>196</v>
      </c>
      <c r="L8">
        <f t="shared" si="1"/>
        <v>3.9200000000000004</v>
      </c>
      <c r="M8" t="str">
        <f t="shared" si="2"/>
        <v>F</v>
      </c>
      <c r="N8" t="str">
        <f t="shared" si="3"/>
        <v>FAIL</v>
      </c>
    </row>
    <row r="9" spans="1:14">
      <c r="A9" t="s">
        <v>30</v>
      </c>
      <c r="B9" t="s">
        <v>31</v>
      </c>
      <c r="C9" t="s">
        <v>19</v>
      </c>
      <c r="D9">
        <v>75</v>
      </c>
      <c r="E9">
        <v>39</v>
      </c>
      <c r="F9">
        <v>39</v>
      </c>
      <c r="G9">
        <v>39</v>
      </c>
      <c r="H9">
        <v>39</v>
      </c>
      <c r="I9">
        <v>39</v>
      </c>
      <c r="J9">
        <v>37</v>
      </c>
      <c r="K9">
        <f t="shared" si="0"/>
        <v>232</v>
      </c>
      <c r="L9">
        <f t="shared" si="1"/>
        <v>4.6400000000000006</v>
      </c>
      <c r="M9" t="str">
        <f t="shared" si="2"/>
        <v>F</v>
      </c>
      <c r="N9" t="str">
        <f t="shared" si="3"/>
        <v>FAIL</v>
      </c>
    </row>
    <row r="10" spans="1:14">
      <c r="A10" t="s">
        <v>32</v>
      </c>
      <c r="B10" t="s">
        <v>33</v>
      </c>
      <c r="C10" t="s">
        <v>19</v>
      </c>
      <c r="D10">
        <v>80</v>
      </c>
      <c r="E10">
        <v>40</v>
      </c>
      <c r="F10">
        <v>40</v>
      </c>
      <c r="G10">
        <v>40</v>
      </c>
      <c r="H10">
        <v>40</v>
      </c>
      <c r="I10">
        <v>40</v>
      </c>
      <c r="J10">
        <v>31</v>
      </c>
      <c r="K10">
        <f t="shared" si="0"/>
        <v>231</v>
      </c>
      <c r="L10">
        <f t="shared" si="1"/>
        <v>4.62</v>
      </c>
      <c r="M10" t="str">
        <f t="shared" si="2"/>
        <v>F</v>
      </c>
      <c r="N10" t="str">
        <f t="shared" si="3"/>
        <v>FAIL</v>
      </c>
    </row>
    <row r="11" spans="1:14">
      <c r="A11" t="s">
        <v>34</v>
      </c>
      <c r="B11" t="s">
        <v>35</v>
      </c>
      <c r="C11" t="s">
        <v>16</v>
      </c>
      <c r="D11">
        <v>75</v>
      </c>
      <c r="E11">
        <v>30</v>
      </c>
      <c r="F11">
        <v>30</v>
      </c>
      <c r="G11">
        <v>30</v>
      </c>
      <c r="H11">
        <v>30</v>
      </c>
      <c r="I11">
        <v>30</v>
      </c>
      <c r="J11">
        <v>34</v>
      </c>
      <c r="K11">
        <f t="shared" si="0"/>
        <v>184</v>
      </c>
      <c r="L11">
        <f t="shared" si="1"/>
        <v>3.6799999999999997</v>
      </c>
      <c r="M11" t="str">
        <f t="shared" si="2"/>
        <v>F</v>
      </c>
      <c r="N11" t="str">
        <f t="shared" si="3"/>
        <v>FAIL</v>
      </c>
    </row>
    <row r="12" spans="1:14">
      <c r="A12" t="s">
        <v>36</v>
      </c>
      <c r="B12" t="s">
        <v>37</v>
      </c>
      <c r="C12" t="s">
        <v>19</v>
      </c>
      <c r="D12">
        <v>89</v>
      </c>
      <c r="E12">
        <v>54</v>
      </c>
      <c r="F12">
        <v>38</v>
      </c>
      <c r="G12">
        <v>42</v>
      </c>
      <c r="H12">
        <v>56</v>
      </c>
      <c r="I12">
        <v>31</v>
      </c>
      <c r="J12">
        <v>23</v>
      </c>
      <c r="K12">
        <f t="shared" si="0"/>
        <v>244</v>
      </c>
      <c r="L12">
        <f t="shared" si="1"/>
        <v>4.88</v>
      </c>
      <c r="M12" t="str">
        <f t="shared" si="2"/>
        <v>F</v>
      </c>
      <c r="N12" t="str">
        <f t="shared" si="3"/>
        <v>FAIL</v>
      </c>
    </row>
    <row r="13" spans="1:14">
      <c r="A13" t="s">
        <v>38</v>
      </c>
      <c r="B13" t="s">
        <v>39</v>
      </c>
      <c r="C13" t="s">
        <v>19</v>
      </c>
      <c r="D13">
        <v>73</v>
      </c>
      <c r="E13">
        <v>38</v>
      </c>
      <c r="F13">
        <v>47</v>
      </c>
      <c r="G13">
        <v>47</v>
      </c>
      <c r="H13">
        <v>54</v>
      </c>
      <c r="I13">
        <v>42</v>
      </c>
      <c r="J13">
        <v>26</v>
      </c>
      <c r="K13">
        <f t="shared" si="0"/>
        <v>254</v>
      </c>
      <c r="L13">
        <f t="shared" si="1"/>
        <v>5.08</v>
      </c>
      <c r="M13" t="str">
        <f t="shared" si="2"/>
        <v>E</v>
      </c>
      <c r="N13" t="str">
        <f t="shared" si="3"/>
        <v>PASS</v>
      </c>
    </row>
    <row r="14" spans="1:14">
      <c r="A14" t="s">
        <v>40</v>
      </c>
      <c r="B14" t="s">
        <v>41</v>
      </c>
      <c r="C14" t="s">
        <v>16</v>
      </c>
      <c r="D14">
        <v>90</v>
      </c>
      <c r="E14">
        <v>39</v>
      </c>
      <c r="F14">
        <v>30</v>
      </c>
      <c r="G14">
        <v>35</v>
      </c>
      <c r="H14">
        <v>45</v>
      </c>
      <c r="I14">
        <v>30</v>
      </c>
      <c r="J14">
        <v>32</v>
      </c>
      <c r="K14">
        <f t="shared" si="0"/>
        <v>211</v>
      </c>
      <c r="L14">
        <f t="shared" si="1"/>
        <v>4.22</v>
      </c>
      <c r="M14" t="str">
        <f t="shared" si="2"/>
        <v>F</v>
      </c>
      <c r="N14" t="str">
        <f t="shared" si="3"/>
        <v>FAIL</v>
      </c>
    </row>
    <row r="15" spans="1:14">
      <c r="A15" t="s">
        <v>42</v>
      </c>
      <c r="B15" t="s">
        <v>43</v>
      </c>
      <c r="C15" t="s">
        <v>16</v>
      </c>
      <c r="D15">
        <v>77</v>
      </c>
      <c r="E15">
        <v>39</v>
      </c>
      <c r="F15">
        <v>41</v>
      </c>
      <c r="G15">
        <v>33</v>
      </c>
      <c r="H15">
        <v>30</v>
      </c>
      <c r="I15">
        <v>40</v>
      </c>
      <c r="J15">
        <v>38</v>
      </c>
      <c r="K15">
        <f t="shared" si="0"/>
        <v>221</v>
      </c>
      <c r="L15">
        <f t="shared" si="1"/>
        <v>4.42</v>
      </c>
      <c r="M15" t="str">
        <f t="shared" si="2"/>
        <v>F</v>
      </c>
      <c r="N15" t="str">
        <f t="shared" si="3"/>
        <v>FAIL</v>
      </c>
    </row>
    <row r="16" spans="1:14">
      <c r="A16" t="s">
        <v>44</v>
      </c>
      <c r="B16" t="s">
        <v>43</v>
      </c>
      <c r="C16" t="s">
        <v>19</v>
      </c>
      <c r="D16">
        <v>80</v>
      </c>
      <c r="E16">
        <v>36</v>
      </c>
      <c r="F16">
        <v>58</v>
      </c>
      <c r="G16">
        <v>44</v>
      </c>
      <c r="H16">
        <v>55</v>
      </c>
      <c r="I16">
        <v>55</v>
      </c>
      <c r="J16">
        <v>35</v>
      </c>
      <c r="K16">
        <f t="shared" si="0"/>
        <v>283</v>
      </c>
      <c r="L16">
        <f t="shared" si="1"/>
        <v>5.6599999999999993</v>
      </c>
      <c r="M16" t="str">
        <f t="shared" si="2"/>
        <v>E</v>
      </c>
      <c r="N16" t="str">
        <f t="shared" si="3"/>
        <v>PASS</v>
      </c>
    </row>
    <row r="17" spans="1:14">
      <c r="A17" t="s">
        <v>45</v>
      </c>
      <c r="B17" t="s">
        <v>46</v>
      </c>
      <c r="C17" t="s">
        <v>19</v>
      </c>
      <c r="D17">
        <v>97</v>
      </c>
      <c r="E17">
        <v>38</v>
      </c>
      <c r="F17">
        <v>33</v>
      </c>
      <c r="G17">
        <v>46</v>
      </c>
      <c r="H17">
        <v>50</v>
      </c>
      <c r="I17">
        <v>45</v>
      </c>
      <c r="J17">
        <v>34</v>
      </c>
      <c r="K17">
        <f t="shared" si="0"/>
        <v>246</v>
      </c>
      <c r="L17">
        <f t="shared" si="1"/>
        <v>4.92</v>
      </c>
      <c r="M17" t="str">
        <f t="shared" si="2"/>
        <v>F</v>
      </c>
      <c r="N17" t="str">
        <f t="shared" si="3"/>
        <v>FAIL</v>
      </c>
    </row>
    <row r="18" spans="1:14">
      <c r="A18" t="s">
        <v>47</v>
      </c>
      <c r="B18" t="s">
        <v>43</v>
      </c>
      <c r="C18" t="s">
        <v>16</v>
      </c>
      <c r="D18">
        <v>94</v>
      </c>
      <c r="E18">
        <v>51</v>
      </c>
      <c r="F18">
        <v>36</v>
      </c>
      <c r="G18">
        <v>49</v>
      </c>
      <c r="H18">
        <v>50</v>
      </c>
      <c r="I18">
        <v>48</v>
      </c>
      <c r="J18">
        <v>26</v>
      </c>
      <c r="K18">
        <f t="shared" si="0"/>
        <v>260</v>
      </c>
      <c r="L18">
        <f t="shared" si="1"/>
        <v>5.2</v>
      </c>
      <c r="M18" t="str">
        <f t="shared" si="2"/>
        <v>E</v>
      </c>
      <c r="N18" t="str">
        <f t="shared" si="3"/>
        <v>PASS</v>
      </c>
    </row>
    <row r="19" spans="1:14">
      <c r="A19" t="s">
        <v>48</v>
      </c>
      <c r="B19" t="s">
        <v>49</v>
      </c>
      <c r="C19" t="s">
        <v>19</v>
      </c>
      <c r="D19">
        <v>96</v>
      </c>
      <c r="E19">
        <v>38</v>
      </c>
      <c r="F19">
        <v>55</v>
      </c>
      <c r="G19">
        <v>36</v>
      </c>
      <c r="H19">
        <v>52</v>
      </c>
      <c r="I19">
        <v>32</v>
      </c>
      <c r="J19">
        <v>38</v>
      </c>
      <c r="K19">
        <f t="shared" si="0"/>
        <v>251</v>
      </c>
      <c r="L19">
        <f t="shared" si="1"/>
        <v>5.0200000000000005</v>
      </c>
      <c r="M19" t="str">
        <f t="shared" si="2"/>
        <v>E</v>
      </c>
      <c r="N19" t="str">
        <f t="shared" si="3"/>
        <v>PASS</v>
      </c>
    </row>
    <row r="20" spans="1:14">
      <c r="A20" t="s">
        <v>50</v>
      </c>
      <c r="B20" t="s">
        <v>37</v>
      </c>
      <c r="C20" t="s">
        <v>16</v>
      </c>
      <c r="D20">
        <v>70</v>
      </c>
      <c r="E20">
        <v>54</v>
      </c>
      <c r="F20">
        <v>41</v>
      </c>
      <c r="G20">
        <v>49</v>
      </c>
      <c r="H20">
        <v>30</v>
      </c>
      <c r="I20">
        <v>36</v>
      </c>
      <c r="J20">
        <v>38</v>
      </c>
      <c r="K20">
        <f t="shared" si="0"/>
        <v>248</v>
      </c>
      <c r="L20">
        <f t="shared" si="1"/>
        <v>4.96</v>
      </c>
      <c r="M20" t="str">
        <f t="shared" si="2"/>
        <v>F</v>
      </c>
      <c r="N20" t="str">
        <f t="shared" si="3"/>
        <v>FAIL</v>
      </c>
    </row>
    <row r="21" spans="1:14">
      <c r="A21" t="s">
        <v>51</v>
      </c>
      <c r="B21" t="s">
        <v>43</v>
      </c>
      <c r="C21" t="s">
        <v>16</v>
      </c>
      <c r="D21">
        <v>78</v>
      </c>
      <c r="E21">
        <v>55</v>
      </c>
      <c r="F21">
        <v>53</v>
      </c>
      <c r="G21">
        <v>52</v>
      </c>
      <c r="H21">
        <v>54</v>
      </c>
      <c r="I21">
        <v>55</v>
      </c>
      <c r="J21">
        <v>39</v>
      </c>
      <c r="K21">
        <f t="shared" si="0"/>
        <v>308</v>
      </c>
      <c r="L21">
        <f t="shared" si="1"/>
        <v>6.16</v>
      </c>
      <c r="M21" t="str">
        <f t="shared" si="2"/>
        <v>D</v>
      </c>
      <c r="N21" t="str">
        <f t="shared" si="3"/>
        <v>PASS</v>
      </c>
    </row>
    <row r="22" spans="1:14">
      <c r="A22" t="s">
        <v>52</v>
      </c>
      <c r="B22" t="s">
        <v>43</v>
      </c>
      <c r="C22" t="s">
        <v>19</v>
      </c>
      <c r="D22">
        <v>94</v>
      </c>
      <c r="E22">
        <v>40</v>
      </c>
      <c r="F22">
        <v>50</v>
      </c>
      <c r="G22">
        <v>34</v>
      </c>
      <c r="H22">
        <v>47</v>
      </c>
      <c r="I22">
        <v>45</v>
      </c>
      <c r="J22">
        <v>21</v>
      </c>
      <c r="K22">
        <f t="shared" si="0"/>
        <v>237</v>
      </c>
      <c r="L22">
        <f t="shared" si="1"/>
        <v>4.74</v>
      </c>
      <c r="M22" t="str">
        <f t="shared" si="2"/>
        <v>F</v>
      </c>
      <c r="N22" t="str">
        <f t="shared" si="3"/>
        <v>FAIL</v>
      </c>
    </row>
    <row r="23" spans="1:14">
      <c r="A23" t="s">
        <v>53</v>
      </c>
      <c r="B23" t="s">
        <v>54</v>
      </c>
      <c r="C23" t="s">
        <v>19</v>
      </c>
      <c r="D23">
        <v>95</v>
      </c>
      <c r="E23">
        <v>39</v>
      </c>
      <c r="F23">
        <v>47</v>
      </c>
      <c r="G23">
        <v>47</v>
      </c>
      <c r="H23">
        <v>50</v>
      </c>
      <c r="I23">
        <v>34</v>
      </c>
      <c r="J23">
        <v>31</v>
      </c>
      <c r="K23">
        <f t="shared" si="0"/>
        <v>248</v>
      </c>
      <c r="L23">
        <f t="shared" si="1"/>
        <v>4.96</v>
      </c>
      <c r="M23" t="str">
        <f t="shared" si="2"/>
        <v>F</v>
      </c>
      <c r="N23" t="str">
        <f t="shared" si="3"/>
        <v>FAIL</v>
      </c>
    </row>
    <row r="24" spans="1:14">
      <c r="A24" t="s">
        <v>55</v>
      </c>
      <c r="B24" t="s">
        <v>37</v>
      </c>
      <c r="C24" t="s">
        <v>19</v>
      </c>
      <c r="D24">
        <v>82</v>
      </c>
      <c r="E24">
        <v>33</v>
      </c>
      <c r="F24">
        <v>45</v>
      </c>
      <c r="G24">
        <v>35</v>
      </c>
      <c r="H24">
        <v>50</v>
      </c>
      <c r="I24">
        <v>45</v>
      </c>
      <c r="J24">
        <v>39</v>
      </c>
      <c r="K24">
        <f t="shared" si="0"/>
        <v>247</v>
      </c>
      <c r="L24">
        <f t="shared" si="1"/>
        <v>4.9399999999999995</v>
      </c>
      <c r="M24" t="str">
        <f t="shared" si="2"/>
        <v>F</v>
      </c>
      <c r="N24" t="str">
        <f t="shared" si="3"/>
        <v>FAIL</v>
      </c>
    </row>
    <row r="25" spans="1:14">
      <c r="A25" t="s">
        <v>56</v>
      </c>
      <c r="B25" t="s">
        <v>46</v>
      </c>
      <c r="C25" t="s">
        <v>16</v>
      </c>
      <c r="D25">
        <v>100</v>
      </c>
      <c r="E25">
        <v>41</v>
      </c>
      <c r="F25">
        <v>34</v>
      </c>
      <c r="G25">
        <v>45</v>
      </c>
      <c r="H25">
        <v>43</v>
      </c>
      <c r="I25">
        <v>44</v>
      </c>
      <c r="J25">
        <v>39</v>
      </c>
      <c r="K25">
        <f t="shared" si="0"/>
        <v>246</v>
      </c>
      <c r="L25">
        <f t="shared" si="1"/>
        <v>4.92</v>
      </c>
      <c r="M25" t="str">
        <f t="shared" si="2"/>
        <v>F</v>
      </c>
      <c r="N25" t="str">
        <f t="shared" si="3"/>
        <v>FAIL</v>
      </c>
    </row>
    <row r="26" spans="1:14">
      <c r="A26" t="s">
        <v>57</v>
      </c>
      <c r="B26" t="s">
        <v>46</v>
      </c>
      <c r="C26" t="s">
        <v>16</v>
      </c>
      <c r="D26">
        <v>87</v>
      </c>
      <c r="E26">
        <v>51</v>
      </c>
      <c r="F26">
        <v>54</v>
      </c>
      <c r="G26">
        <v>40</v>
      </c>
      <c r="H26">
        <v>59</v>
      </c>
      <c r="I26">
        <v>36</v>
      </c>
      <c r="J26">
        <v>22</v>
      </c>
      <c r="K26">
        <f t="shared" si="0"/>
        <v>262</v>
      </c>
      <c r="L26">
        <f t="shared" si="1"/>
        <v>5.24</v>
      </c>
      <c r="M26" t="str">
        <f t="shared" si="2"/>
        <v>E</v>
      </c>
      <c r="N26" t="str">
        <f t="shared" si="3"/>
        <v>PASS</v>
      </c>
    </row>
    <row r="27" spans="1:14">
      <c r="A27" t="s">
        <v>58</v>
      </c>
      <c r="B27" t="s">
        <v>43</v>
      </c>
      <c r="C27" t="s">
        <v>16</v>
      </c>
      <c r="D27">
        <v>83</v>
      </c>
      <c r="E27">
        <v>52</v>
      </c>
      <c r="F27">
        <v>43</v>
      </c>
      <c r="G27">
        <v>39</v>
      </c>
      <c r="H27">
        <v>44</v>
      </c>
      <c r="I27">
        <v>55</v>
      </c>
      <c r="J27">
        <v>30</v>
      </c>
      <c r="K27">
        <f t="shared" si="0"/>
        <v>263</v>
      </c>
      <c r="L27">
        <f t="shared" si="1"/>
        <v>5.26</v>
      </c>
      <c r="M27" t="str">
        <f t="shared" si="2"/>
        <v>E</v>
      </c>
      <c r="N27" t="str">
        <f t="shared" si="3"/>
        <v>PASS</v>
      </c>
    </row>
    <row r="28" spans="1:14">
      <c r="A28" t="s">
        <v>59</v>
      </c>
      <c r="B28" t="s">
        <v>37</v>
      </c>
      <c r="C28" t="s">
        <v>19</v>
      </c>
      <c r="D28">
        <v>83</v>
      </c>
      <c r="E28">
        <v>36</v>
      </c>
      <c r="F28">
        <v>49</v>
      </c>
      <c r="G28">
        <v>47</v>
      </c>
      <c r="H28">
        <v>38</v>
      </c>
      <c r="I28">
        <v>54</v>
      </c>
      <c r="J28">
        <v>30</v>
      </c>
      <c r="K28">
        <f t="shared" si="0"/>
        <v>254</v>
      </c>
      <c r="L28">
        <f t="shared" si="1"/>
        <v>5.08</v>
      </c>
      <c r="M28" t="str">
        <f t="shared" si="2"/>
        <v>E</v>
      </c>
      <c r="N28" t="str">
        <f t="shared" si="3"/>
        <v>PASS</v>
      </c>
    </row>
    <row r="29" spans="1:14">
      <c r="A29" t="s">
        <v>60</v>
      </c>
      <c r="B29" t="s">
        <v>61</v>
      </c>
      <c r="C29" t="s">
        <v>16</v>
      </c>
      <c r="D29">
        <v>85</v>
      </c>
      <c r="E29">
        <v>41</v>
      </c>
      <c r="F29">
        <v>42</v>
      </c>
      <c r="G29">
        <v>57</v>
      </c>
      <c r="H29">
        <v>31</v>
      </c>
      <c r="I29">
        <v>33</v>
      </c>
      <c r="J29">
        <v>39</v>
      </c>
      <c r="K29">
        <f t="shared" si="0"/>
        <v>243</v>
      </c>
      <c r="L29">
        <f t="shared" si="1"/>
        <v>4.8600000000000003</v>
      </c>
      <c r="M29" t="str">
        <f t="shared" si="2"/>
        <v>F</v>
      </c>
      <c r="N29" t="str">
        <f t="shared" si="3"/>
        <v>FAIL</v>
      </c>
    </row>
    <row r="30" spans="1:14">
      <c r="A30" t="s">
        <v>62</v>
      </c>
      <c r="B30" t="s">
        <v>63</v>
      </c>
      <c r="C30" t="s">
        <v>16</v>
      </c>
      <c r="D30">
        <v>89</v>
      </c>
      <c r="E30">
        <v>54</v>
      </c>
      <c r="F30">
        <v>38</v>
      </c>
      <c r="G30">
        <v>35</v>
      </c>
      <c r="H30">
        <v>50</v>
      </c>
      <c r="I30">
        <v>59</v>
      </c>
      <c r="J30">
        <v>33</v>
      </c>
      <c r="K30">
        <f t="shared" si="0"/>
        <v>269</v>
      </c>
      <c r="L30">
        <f t="shared" si="1"/>
        <v>5.3800000000000008</v>
      </c>
      <c r="M30" t="str">
        <f t="shared" si="2"/>
        <v>E</v>
      </c>
      <c r="N30" t="str">
        <f t="shared" si="3"/>
        <v>PASS</v>
      </c>
    </row>
    <row r="31" spans="1:14">
      <c r="A31" t="s">
        <v>64</v>
      </c>
      <c r="B31" t="s">
        <v>41</v>
      </c>
      <c r="C31" t="s">
        <v>19</v>
      </c>
      <c r="D31">
        <v>90</v>
      </c>
      <c r="E31">
        <v>36</v>
      </c>
      <c r="F31">
        <v>40</v>
      </c>
      <c r="G31">
        <v>38</v>
      </c>
      <c r="H31">
        <v>39</v>
      </c>
      <c r="I31">
        <v>36</v>
      </c>
      <c r="J31">
        <v>25</v>
      </c>
      <c r="K31">
        <f t="shared" si="0"/>
        <v>214</v>
      </c>
      <c r="L31">
        <f t="shared" si="1"/>
        <v>4.2799999999999994</v>
      </c>
      <c r="M31" t="str">
        <f t="shared" si="2"/>
        <v>F</v>
      </c>
      <c r="N31" t="str">
        <f t="shared" si="3"/>
        <v>FAIL</v>
      </c>
    </row>
    <row r="32" spans="1:14">
      <c r="A32" t="s">
        <v>65</v>
      </c>
      <c r="B32" t="s">
        <v>66</v>
      </c>
      <c r="C32" t="s">
        <v>19</v>
      </c>
      <c r="D32">
        <v>71</v>
      </c>
      <c r="E32">
        <v>48</v>
      </c>
      <c r="F32">
        <v>41</v>
      </c>
      <c r="G32">
        <v>40</v>
      </c>
      <c r="H32">
        <v>31</v>
      </c>
      <c r="I32">
        <v>53</v>
      </c>
      <c r="J32">
        <v>34</v>
      </c>
      <c r="K32">
        <f t="shared" si="0"/>
        <v>247</v>
      </c>
      <c r="L32">
        <f t="shared" si="1"/>
        <v>4.9399999999999995</v>
      </c>
      <c r="M32" t="str">
        <f t="shared" si="2"/>
        <v>F</v>
      </c>
      <c r="N32" t="str">
        <f t="shared" si="3"/>
        <v>FAIL</v>
      </c>
    </row>
    <row r="33" spans="1:14">
      <c r="A33" t="s">
        <v>67</v>
      </c>
      <c r="B33" t="s">
        <v>68</v>
      </c>
      <c r="C33" t="s">
        <v>16</v>
      </c>
      <c r="D33">
        <v>91</v>
      </c>
      <c r="E33">
        <v>45</v>
      </c>
      <c r="F33">
        <v>30</v>
      </c>
      <c r="G33">
        <v>54</v>
      </c>
      <c r="H33">
        <v>46</v>
      </c>
      <c r="I33">
        <v>32</v>
      </c>
      <c r="J33">
        <v>23</v>
      </c>
      <c r="K33">
        <f t="shared" si="0"/>
        <v>230</v>
      </c>
      <c r="L33">
        <f t="shared" si="1"/>
        <v>4.5999999999999996</v>
      </c>
      <c r="M33" t="str">
        <f t="shared" si="2"/>
        <v>F</v>
      </c>
      <c r="N33" t="str">
        <f t="shared" si="3"/>
        <v>FAIL</v>
      </c>
    </row>
    <row r="34" spans="1:14">
      <c r="A34" t="s">
        <v>69</v>
      </c>
      <c r="B34" t="s">
        <v>68</v>
      </c>
      <c r="C34" t="s">
        <v>19</v>
      </c>
      <c r="D34">
        <v>84</v>
      </c>
      <c r="E34">
        <v>35</v>
      </c>
      <c r="F34">
        <v>40</v>
      </c>
      <c r="G34">
        <v>50</v>
      </c>
      <c r="H34">
        <v>36</v>
      </c>
      <c r="I34">
        <v>32</v>
      </c>
      <c r="J34">
        <v>21</v>
      </c>
      <c r="K34">
        <f t="shared" si="0"/>
        <v>214</v>
      </c>
      <c r="L34">
        <f t="shared" si="1"/>
        <v>4.2799999999999994</v>
      </c>
      <c r="M34" t="str">
        <f t="shared" si="2"/>
        <v>F</v>
      </c>
      <c r="N34" t="str">
        <f t="shared" si="3"/>
        <v>FAIL</v>
      </c>
    </row>
    <row r="35" spans="1:14">
      <c r="A35" t="s">
        <v>70</v>
      </c>
      <c r="B35" t="s">
        <v>37</v>
      </c>
      <c r="C35" t="s">
        <v>16</v>
      </c>
      <c r="D35">
        <v>95</v>
      </c>
      <c r="E35">
        <v>38</v>
      </c>
      <c r="F35">
        <v>53</v>
      </c>
      <c r="G35">
        <v>45</v>
      </c>
      <c r="H35">
        <v>47</v>
      </c>
      <c r="I35">
        <v>36</v>
      </c>
      <c r="J35">
        <v>32</v>
      </c>
      <c r="K35">
        <f t="shared" si="0"/>
        <v>251</v>
      </c>
      <c r="L35">
        <f t="shared" si="1"/>
        <v>5.0200000000000005</v>
      </c>
      <c r="M35" t="str">
        <f t="shared" si="2"/>
        <v>E</v>
      </c>
      <c r="N35" t="str">
        <f t="shared" si="3"/>
        <v>PASS</v>
      </c>
    </row>
    <row r="36" spans="1:14">
      <c r="A36" t="s">
        <v>71</v>
      </c>
      <c r="B36" t="s">
        <v>43</v>
      </c>
      <c r="C36" t="s">
        <v>16</v>
      </c>
      <c r="D36">
        <v>91</v>
      </c>
      <c r="E36">
        <v>40</v>
      </c>
      <c r="F36">
        <v>48</v>
      </c>
      <c r="G36">
        <v>37</v>
      </c>
      <c r="H36">
        <v>54</v>
      </c>
      <c r="I36">
        <v>32</v>
      </c>
      <c r="J36">
        <v>26</v>
      </c>
      <c r="K36">
        <f t="shared" si="0"/>
        <v>237</v>
      </c>
      <c r="L36">
        <f t="shared" si="1"/>
        <v>4.74</v>
      </c>
      <c r="M36" t="str">
        <f t="shared" si="2"/>
        <v>F</v>
      </c>
      <c r="N36" t="str">
        <f t="shared" si="3"/>
        <v>FAIL</v>
      </c>
    </row>
    <row r="37" spans="1:14">
      <c r="A37" t="s">
        <v>72</v>
      </c>
      <c r="B37" t="s">
        <v>54</v>
      </c>
      <c r="C37" t="s">
        <v>16</v>
      </c>
      <c r="D37">
        <v>94</v>
      </c>
      <c r="E37">
        <v>47</v>
      </c>
      <c r="F37">
        <v>48</v>
      </c>
      <c r="G37">
        <v>59</v>
      </c>
      <c r="H37">
        <v>32</v>
      </c>
      <c r="I37">
        <v>51</v>
      </c>
      <c r="J37">
        <v>33</v>
      </c>
      <c r="K37">
        <f t="shared" si="0"/>
        <v>270</v>
      </c>
      <c r="L37">
        <f t="shared" si="1"/>
        <v>5.4</v>
      </c>
      <c r="M37" t="str">
        <f t="shared" si="2"/>
        <v>E</v>
      </c>
      <c r="N37" t="str">
        <f t="shared" si="3"/>
        <v>PASS</v>
      </c>
    </row>
    <row r="38" spans="1:14">
      <c r="A38" t="s">
        <v>73</v>
      </c>
      <c r="B38" t="s">
        <v>61</v>
      </c>
      <c r="C38" t="s">
        <v>16</v>
      </c>
      <c r="D38">
        <v>81</v>
      </c>
      <c r="E38">
        <v>49</v>
      </c>
      <c r="F38">
        <v>34</v>
      </c>
      <c r="G38">
        <v>37</v>
      </c>
      <c r="H38">
        <v>48</v>
      </c>
      <c r="I38">
        <v>53</v>
      </c>
      <c r="J38">
        <v>25</v>
      </c>
      <c r="K38">
        <f t="shared" si="0"/>
        <v>246</v>
      </c>
      <c r="L38">
        <f t="shared" si="1"/>
        <v>4.92</v>
      </c>
      <c r="M38" t="str">
        <f t="shared" si="2"/>
        <v>F</v>
      </c>
      <c r="N38" t="str">
        <f t="shared" si="3"/>
        <v>FAIL</v>
      </c>
    </row>
    <row r="39" spans="1:14">
      <c r="A39" t="s">
        <v>74</v>
      </c>
      <c r="B39" t="s">
        <v>66</v>
      </c>
      <c r="C39" t="s">
        <v>19</v>
      </c>
      <c r="D39">
        <v>84</v>
      </c>
      <c r="E39">
        <v>51</v>
      </c>
      <c r="F39">
        <v>33</v>
      </c>
      <c r="G39">
        <v>59</v>
      </c>
      <c r="H39">
        <v>31</v>
      </c>
      <c r="I39">
        <v>50</v>
      </c>
      <c r="J39">
        <v>24</v>
      </c>
      <c r="K39">
        <f t="shared" si="0"/>
        <v>248</v>
      </c>
      <c r="L39">
        <f t="shared" si="1"/>
        <v>4.96</v>
      </c>
      <c r="M39" t="str">
        <f t="shared" si="2"/>
        <v>F</v>
      </c>
      <c r="N39" t="str">
        <f t="shared" si="3"/>
        <v>FAIL</v>
      </c>
    </row>
    <row r="40" spans="1:14">
      <c r="A40" t="s">
        <v>75</v>
      </c>
      <c r="B40" t="s">
        <v>76</v>
      </c>
      <c r="C40" t="s">
        <v>16</v>
      </c>
      <c r="D40">
        <v>77</v>
      </c>
      <c r="E40">
        <v>46</v>
      </c>
      <c r="F40">
        <v>58</v>
      </c>
      <c r="G40">
        <v>31</v>
      </c>
      <c r="H40">
        <v>33</v>
      </c>
      <c r="I40">
        <v>33</v>
      </c>
      <c r="J40">
        <v>35</v>
      </c>
      <c r="K40">
        <f t="shared" si="0"/>
        <v>236</v>
      </c>
      <c r="L40">
        <f t="shared" si="1"/>
        <v>4.72</v>
      </c>
      <c r="M40" t="str">
        <f t="shared" si="2"/>
        <v>F</v>
      </c>
      <c r="N40" t="str">
        <f t="shared" si="3"/>
        <v>FAIL</v>
      </c>
    </row>
    <row r="41" spans="1:14">
      <c r="A41" t="s">
        <v>77</v>
      </c>
      <c r="B41" t="s">
        <v>76</v>
      </c>
      <c r="C41" t="s">
        <v>19</v>
      </c>
      <c r="D41">
        <v>88</v>
      </c>
      <c r="E41">
        <v>45</v>
      </c>
      <c r="F41">
        <v>42</v>
      </c>
      <c r="G41">
        <v>49</v>
      </c>
      <c r="H41">
        <v>36</v>
      </c>
      <c r="I41">
        <v>42</v>
      </c>
      <c r="J41">
        <v>26</v>
      </c>
      <c r="K41">
        <f t="shared" si="0"/>
        <v>240</v>
      </c>
      <c r="L41">
        <f t="shared" si="1"/>
        <v>4.8</v>
      </c>
      <c r="M41" t="str">
        <f t="shared" si="2"/>
        <v>F</v>
      </c>
      <c r="N41" t="str">
        <f t="shared" si="3"/>
        <v>FAIL</v>
      </c>
    </row>
    <row r="42" spans="1:14">
      <c r="A42" t="s">
        <v>78</v>
      </c>
      <c r="B42" t="s">
        <v>41</v>
      </c>
      <c r="C42" t="s">
        <v>16</v>
      </c>
      <c r="D42">
        <v>78</v>
      </c>
      <c r="E42">
        <v>47</v>
      </c>
      <c r="F42">
        <v>46</v>
      </c>
      <c r="G42">
        <v>56</v>
      </c>
      <c r="H42">
        <v>50</v>
      </c>
      <c r="I42">
        <v>49</v>
      </c>
      <c r="J42">
        <v>35</v>
      </c>
      <c r="K42">
        <f t="shared" si="0"/>
        <v>283</v>
      </c>
      <c r="L42">
        <f t="shared" si="1"/>
        <v>5.6599999999999993</v>
      </c>
      <c r="M42" t="str">
        <f t="shared" si="2"/>
        <v>E</v>
      </c>
      <c r="N42" t="str">
        <f t="shared" si="3"/>
        <v>PASS</v>
      </c>
    </row>
    <row r="43" spans="1:14">
      <c r="A43" t="s">
        <v>79</v>
      </c>
      <c r="B43" t="s">
        <v>68</v>
      </c>
      <c r="C43" t="s">
        <v>19</v>
      </c>
      <c r="D43">
        <v>71</v>
      </c>
      <c r="E43">
        <v>32</v>
      </c>
      <c r="F43">
        <v>55</v>
      </c>
      <c r="G43">
        <v>42</v>
      </c>
      <c r="H43">
        <v>40</v>
      </c>
      <c r="I43">
        <v>43</v>
      </c>
      <c r="J43">
        <v>25</v>
      </c>
      <c r="K43">
        <f t="shared" si="0"/>
        <v>237</v>
      </c>
      <c r="L43">
        <f t="shared" si="1"/>
        <v>4.74</v>
      </c>
      <c r="M43" t="str">
        <f t="shared" si="2"/>
        <v>F</v>
      </c>
      <c r="N43" t="str">
        <f t="shared" si="3"/>
        <v>FAIL</v>
      </c>
    </row>
    <row r="44" spans="1:14">
      <c r="A44" t="s">
        <v>80</v>
      </c>
      <c r="B44" t="s">
        <v>49</v>
      </c>
      <c r="C44" t="s">
        <v>16</v>
      </c>
      <c r="D44">
        <v>90</v>
      </c>
      <c r="E44">
        <v>45</v>
      </c>
      <c r="F44">
        <v>42</v>
      </c>
      <c r="G44">
        <v>44</v>
      </c>
      <c r="H44">
        <v>59</v>
      </c>
      <c r="I44">
        <v>35</v>
      </c>
      <c r="J44">
        <v>21</v>
      </c>
      <c r="K44">
        <f t="shared" si="0"/>
        <v>246</v>
      </c>
      <c r="L44">
        <f t="shared" si="1"/>
        <v>4.92</v>
      </c>
      <c r="M44" t="str">
        <f t="shared" si="2"/>
        <v>F</v>
      </c>
      <c r="N44" t="str">
        <f t="shared" si="3"/>
        <v>FAIL</v>
      </c>
    </row>
    <row r="45" spans="1:14">
      <c r="A45" t="s">
        <v>81</v>
      </c>
      <c r="B45" t="s">
        <v>41</v>
      </c>
      <c r="C45" t="s">
        <v>19</v>
      </c>
      <c r="D45">
        <v>89</v>
      </c>
      <c r="E45">
        <v>52</v>
      </c>
      <c r="F45">
        <v>52</v>
      </c>
      <c r="G45">
        <v>35</v>
      </c>
      <c r="H45">
        <v>44</v>
      </c>
      <c r="I45">
        <v>37</v>
      </c>
      <c r="J45">
        <v>36</v>
      </c>
      <c r="K45">
        <f t="shared" si="0"/>
        <v>256</v>
      </c>
      <c r="L45">
        <f t="shared" si="1"/>
        <v>5.12</v>
      </c>
      <c r="M45" t="str">
        <f t="shared" si="2"/>
        <v>E</v>
      </c>
      <c r="N45" t="str">
        <f t="shared" si="3"/>
        <v>PASS</v>
      </c>
    </row>
    <row r="46" spans="1:14">
      <c r="A46" t="s">
        <v>82</v>
      </c>
      <c r="B46" t="s">
        <v>43</v>
      </c>
      <c r="C46" t="s">
        <v>16</v>
      </c>
      <c r="D46">
        <v>77</v>
      </c>
      <c r="E46">
        <v>36</v>
      </c>
      <c r="F46">
        <v>43</v>
      </c>
      <c r="G46">
        <v>34</v>
      </c>
      <c r="H46">
        <v>56</v>
      </c>
      <c r="I46">
        <v>38</v>
      </c>
      <c r="J46">
        <v>24</v>
      </c>
      <c r="K46">
        <f t="shared" si="0"/>
        <v>231</v>
      </c>
      <c r="L46">
        <f t="shared" si="1"/>
        <v>4.62</v>
      </c>
      <c r="M46" t="str">
        <f t="shared" si="2"/>
        <v>F</v>
      </c>
      <c r="N46" t="str">
        <f t="shared" si="3"/>
        <v>FAIL</v>
      </c>
    </row>
    <row r="47" spans="1:14">
      <c r="A47" t="s">
        <v>83</v>
      </c>
      <c r="B47" t="s">
        <v>63</v>
      </c>
      <c r="C47" t="s">
        <v>19</v>
      </c>
      <c r="D47">
        <v>80</v>
      </c>
      <c r="E47">
        <v>39</v>
      </c>
      <c r="F47">
        <v>35</v>
      </c>
      <c r="G47">
        <v>41</v>
      </c>
      <c r="H47">
        <v>50</v>
      </c>
      <c r="I47">
        <v>38</v>
      </c>
      <c r="J47">
        <v>27</v>
      </c>
      <c r="K47">
        <f t="shared" si="0"/>
        <v>230</v>
      </c>
      <c r="L47">
        <f t="shared" si="1"/>
        <v>4.5999999999999996</v>
      </c>
      <c r="M47" t="str">
        <f t="shared" si="2"/>
        <v>F</v>
      </c>
      <c r="N47" t="str">
        <f t="shared" si="3"/>
        <v>FAIL</v>
      </c>
    </row>
    <row r="48" spans="1:14">
      <c r="A48" t="s">
        <v>84</v>
      </c>
      <c r="B48" t="s">
        <v>43</v>
      </c>
      <c r="C48" t="s">
        <v>16</v>
      </c>
      <c r="D48">
        <v>80</v>
      </c>
      <c r="E48">
        <v>42</v>
      </c>
      <c r="F48">
        <v>33</v>
      </c>
      <c r="G48">
        <v>33</v>
      </c>
      <c r="H48">
        <v>38</v>
      </c>
      <c r="I48">
        <v>51</v>
      </c>
      <c r="J48">
        <v>33</v>
      </c>
      <c r="K48">
        <f t="shared" si="0"/>
        <v>230</v>
      </c>
      <c r="L48">
        <f t="shared" si="1"/>
        <v>4.5999999999999996</v>
      </c>
      <c r="M48" t="str">
        <f t="shared" si="2"/>
        <v>F</v>
      </c>
      <c r="N48" t="str">
        <f t="shared" si="3"/>
        <v>FAIL</v>
      </c>
    </row>
    <row r="49" spans="1:14">
      <c r="A49" t="s">
        <v>85</v>
      </c>
      <c r="B49" t="s">
        <v>49</v>
      </c>
      <c r="C49" t="s">
        <v>19</v>
      </c>
      <c r="D49">
        <v>94</v>
      </c>
      <c r="E49">
        <v>39</v>
      </c>
      <c r="F49">
        <v>38</v>
      </c>
      <c r="G49">
        <v>56</v>
      </c>
      <c r="H49">
        <v>49</v>
      </c>
      <c r="I49">
        <v>42</v>
      </c>
      <c r="J49">
        <v>30</v>
      </c>
      <c r="K49">
        <f t="shared" si="0"/>
        <v>254</v>
      </c>
      <c r="L49">
        <f t="shared" si="1"/>
        <v>5.08</v>
      </c>
      <c r="M49" t="str">
        <f t="shared" si="2"/>
        <v>E</v>
      </c>
      <c r="N49" t="str">
        <f t="shared" si="3"/>
        <v>PASS</v>
      </c>
    </row>
    <row r="50" spans="1:14">
      <c r="A50" t="s">
        <v>86</v>
      </c>
      <c r="B50" t="s">
        <v>87</v>
      </c>
      <c r="C50" t="s">
        <v>19</v>
      </c>
      <c r="D50">
        <v>95</v>
      </c>
      <c r="E50">
        <v>54</v>
      </c>
      <c r="F50">
        <v>47</v>
      </c>
      <c r="G50">
        <v>44</v>
      </c>
      <c r="H50">
        <v>40</v>
      </c>
      <c r="I50">
        <v>41</v>
      </c>
      <c r="J50">
        <v>22</v>
      </c>
      <c r="K50">
        <f t="shared" si="0"/>
        <v>248</v>
      </c>
      <c r="L50">
        <f t="shared" si="1"/>
        <v>4.96</v>
      </c>
      <c r="M50" t="str">
        <f t="shared" si="2"/>
        <v>F</v>
      </c>
      <c r="N50" t="str">
        <f t="shared" si="3"/>
        <v>FAIL</v>
      </c>
    </row>
    <row r="51" spans="1:14">
      <c r="A51" t="s">
        <v>88</v>
      </c>
      <c r="B51" t="s">
        <v>46</v>
      </c>
      <c r="C51" t="s">
        <v>19</v>
      </c>
      <c r="D51">
        <v>83</v>
      </c>
      <c r="E51">
        <v>32</v>
      </c>
      <c r="F51">
        <v>34</v>
      </c>
      <c r="G51">
        <v>41</v>
      </c>
      <c r="H51">
        <v>56</v>
      </c>
      <c r="I51">
        <v>59</v>
      </c>
      <c r="J51">
        <v>33</v>
      </c>
      <c r="K51">
        <f t="shared" si="0"/>
        <v>255</v>
      </c>
      <c r="L51">
        <f t="shared" si="1"/>
        <v>5.0999999999999996</v>
      </c>
      <c r="M51" t="str">
        <f t="shared" si="2"/>
        <v>E</v>
      </c>
      <c r="N51" t="str">
        <f t="shared" si="3"/>
        <v>PASS</v>
      </c>
    </row>
    <row r="54" spans="1:14">
      <c r="D54" s="7" t="s">
        <v>89</v>
      </c>
      <c r="E54" s="7"/>
      <c r="F54" s="7"/>
      <c r="G54" s="4">
        <f>COUNTA(A2:A51)-1</f>
        <v>49</v>
      </c>
    </row>
    <row r="55" spans="1:14">
      <c r="D55" s="7" t="s">
        <v>90</v>
      </c>
      <c r="E55" s="7"/>
      <c r="F55" s="7"/>
      <c r="G55" s="4">
        <f>COUNTIF(N2:N51,"PASS")</f>
        <v>20</v>
      </c>
    </row>
    <row r="56" spans="1:14">
      <c r="D56" s="7" t="s">
        <v>91</v>
      </c>
      <c r="E56" s="7"/>
      <c r="F56" s="7"/>
      <c r="G56" s="4">
        <f>COUNTIF(N3:N52,"FAIL")</f>
        <v>30</v>
      </c>
    </row>
    <row r="57" spans="1:14">
      <c r="D57" s="7" t="s">
        <v>92</v>
      </c>
      <c r="E57" s="7"/>
      <c r="F57" s="7"/>
      <c r="G57" s="4">
        <f>AVERAGE(L2:L51)</f>
        <v>4.9376000000000007</v>
      </c>
    </row>
    <row r="58" spans="1:14">
      <c r="D58" s="7" t="s">
        <v>93</v>
      </c>
      <c r="E58" s="7"/>
      <c r="F58" s="7"/>
      <c r="G58" s="4">
        <f>AVERAGE(D2:D51)</f>
        <v>84.536000000000001</v>
      </c>
    </row>
    <row r="59" spans="1:14">
      <c r="D59" s="7" t="s">
        <v>94</v>
      </c>
      <c r="E59" s="7"/>
      <c r="F59" s="7"/>
      <c r="G59" s="4">
        <f>G55/G56</f>
        <v>0.66666666666666663</v>
      </c>
    </row>
    <row r="60" spans="1:14">
      <c r="D60" s="7" t="s">
        <v>95</v>
      </c>
      <c r="E60" s="7"/>
      <c r="F60" s="7"/>
      <c r="G60" s="5">
        <f>AVERAGEIF(C2:C51,"M",L2:L51)</f>
        <v>4.8823999999999987</v>
      </c>
    </row>
    <row r="61" spans="1:14">
      <c r="D61" s="7" t="s">
        <v>96</v>
      </c>
      <c r="E61" s="7"/>
      <c r="F61" s="7"/>
      <c r="G61" s="5">
        <f>AVERAGEIF(C2:C51,"F",L2:L51)</f>
        <v>4.9927999999999999</v>
      </c>
    </row>
  </sheetData>
  <mergeCells count="8">
    <mergeCell ref="D54:F54"/>
    <mergeCell ref="D60:F60"/>
    <mergeCell ref="D61:F61"/>
    <mergeCell ref="D55:F55"/>
    <mergeCell ref="D56:F56"/>
    <mergeCell ref="D58:F58"/>
    <mergeCell ref="D59:F59"/>
    <mergeCell ref="D57:F5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DBEB-ACD0-4A28-B8AE-DFAAFFD44664}">
  <dimension ref="A1:B8"/>
  <sheetViews>
    <sheetView workbookViewId="0">
      <selection activeCell="L4" sqref="L4"/>
    </sheetView>
  </sheetViews>
  <sheetFormatPr defaultRowHeight="14.45"/>
  <cols>
    <col min="1" max="1" width="39.5703125" customWidth="1"/>
  </cols>
  <sheetData>
    <row r="1" spans="1:2">
      <c r="A1" s="4" t="s">
        <v>89</v>
      </c>
      <c r="B1" s="4">
        <v>49</v>
      </c>
    </row>
    <row r="2" spans="1:2">
      <c r="A2" s="4" t="s">
        <v>90</v>
      </c>
      <c r="B2" s="4">
        <v>20</v>
      </c>
    </row>
    <row r="3" spans="1:2">
      <c r="A3" s="4" t="s">
        <v>91</v>
      </c>
      <c r="B3" s="4">
        <v>30</v>
      </c>
    </row>
    <row r="4" spans="1:2">
      <c r="A4" s="6"/>
      <c r="B4" s="6"/>
    </row>
    <row r="5" spans="1:2">
      <c r="A5" s="6"/>
      <c r="B5" s="6"/>
    </row>
    <row r="6" spans="1:2">
      <c r="A6" s="6"/>
      <c r="B6" s="6"/>
    </row>
    <row r="7" spans="1:2">
      <c r="A7" s="6"/>
      <c r="B7" s="6"/>
    </row>
    <row r="8" spans="1:2">
      <c r="A8" s="6"/>
      <c r="B8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E9440-05B1-42B0-994C-EE17F05270D2}">
  <dimension ref="A1:B5"/>
  <sheetViews>
    <sheetView workbookViewId="0">
      <selection activeCell="N5" sqref="N5"/>
    </sheetView>
  </sheetViews>
  <sheetFormatPr defaultRowHeight="14.45"/>
  <cols>
    <col min="1" max="1" width="18.5703125" customWidth="1"/>
    <col min="2" max="2" width="11.42578125" customWidth="1"/>
  </cols>
  <sheetData>
    <row r="1" spans="1:2">
      <c r="A1" s="3" t="s">
        <v>97</v>
      </c>
      <c r="B1" s="3" t="s">
        <v>11</v>
      </c>
    </row>
    <row r="2" spans="1:2">
      <c r="A2" s="4" t="s">
        <v>98</v>
      </c>
      <c r="B2" s="4">
        <v>4.96</v>
      </c>
    </row>
    <row r="3" spans="1:2">
      <c r="A3" s="4" t="s">
        <v>99</v>
      </c>
      <c r="B3" s="4">
        <v>4.8336842105263162</v>
      </c>
    </row>
    <row r="4" spans="1:2">
      <c r="A4" s="4" t="s">
        <v>100</v>
      </c>
      <c r="B4" s="4">
        <v>4.8899999999999997</v>
      </c>
    </row>
    <row r="5" spans="1:2">
      <c r="A5" s="4" t="s">
        <v>101</v>
      </c>
      <c r="B5" s="4">
        <v>5.1314285714285717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12B9-AEEE-49FC-B7DA-40DFE5ED2C13}">
  <dimension ref="A1:B7"/>
  <sheetViews>
    <sheetView workbookViewId="0">
      <selection activeCell="O17" sqref="O17"/>
    </sheetView>
  </sheetViews>
  <sheetFormatPr defaultRowHeight="14.45"/>
  <cols>
    <col min="2" max="2" width="11.7109375" customWidth="1"/>
  </cols>
  <sheetData>
    <row r="1" spans="1:2">
      <c r="A1" s="4" t="s">
        <v>102</v>
      </c>
      <c r="B1" s="4" t="s">
        <v>103</v>
      </c>
    </row>
    <row r="2" spans="1:2">
      <c r="A2" s="4" t="s">
        <v>104</v>
      </c>
      <c r="B2" s="4">
        <v>0</v>
      </c>
    </row>
    <row r="3" spans="1:2">
      <c r="A3" s="4" t="s">
        <v>105</v>
      </c>
      <c r="B3" s="4">
        <v>0</v>
      </c>
    </row>
    <row r="4" spans="1:2">
      <c r="A4" s="4" t="s">
        <v>106</v>
      </c>
      <c r="B4" s="4">
        <v>0</v>
      </c>
    </row>
    <row r="5" spans="1:2">
      <c r="A5" s="4" t="s">
        <v>107</v>
      </c>
      <c r="B5" s="4">
        <v>1</v>
      </c>
    </row>
    <row r="6" spans="1:2">
      <c r="A6" s="4" t="s">
        <v>108</v>
      </c>
      <c r="B6" s="4">
        <v>14</v>
      </c>
    </row>
    <row r="7" spans="1:2">
      <c r="A7" s="4" t="s">
        <v>16</v>
      </c>
      <c r="B7" s="4">
        <v>29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2DE6-957A-4CFD-8B58-4FAAACBD2D12}">
  <dimension ref="A1:E51"/>
  <sheetViews>
    <sheetView workbookViewId="0">
      <selection activeCell="M5" sqref="M5"/>
    </sheetView>
  </sheetViews>
  <sheetFormatPr defaultRowHeight="14.45"/>
  <cols>
    <col min="1" max="1" width="11.7109375" customWidth="1"/>
    <col min="2" max="2" width="14.7109375" customWidth="1"/>
    <col min="3" max="3" width="14.28515625" customWidth="1"/>
    <col min="4" max="4" width="18.140625" customWidth="1"/>
    <col min="5" max="5" width="16.7109375" customWidth="1"/>
  </cols>
  <sheetData>
    <row r="1" spans="1:5">
      <c r="A1" s="3" t="s">
        <v>0</v>
      </c>
      <c r="B1" s="4" t="s">
        <v>3</v>
      </c>
      <c r="C1" s="4" t="s">
        <v>109</v>
      </c>
      <c r="D1" s="4" t="s">
        <v>110</v>
      </c>
      <c r="E1" s="6"/>
    </row>
    <row r="2" spans="1:5">
      <c r="A2" s="4" t="s">
        <v>14</v>
      </c>
      <c r="B2" s="4">
        <v>90.8</v>
      </c>
      <c r="C2" s="4">
        <v>1</v>
      </c>
      <c r="D2" s="4">
        <v>1</v>
      </c>
      <c r="E2" s="6"/>
    </row>
    <row r="3" spans="1:5">
      <c r="A3" s="4" t="s">
        <v>17</v>
      </c>
      <c r="B3" s="4">
        <v>75</v>
      </c>
      <c r="C3" s="4">
        <v>1</v>
      </c>
      <c r="D3" s="4">
        <v>1</v>
      </c>
      <c r="E3" s="6"/>
    </row>
    <row r="4" spans="1:5">
      <c r="A4" s="4" t="s">
        <v>20</v>
      </c>
      <c r="B4" s="4">
        <v>75</v>
      </c>
      <c r="C4" s="4">
        <v>1</v>
      </c>
      <c r="D4" s="4">
        <v>1</v>
      </c>
      <c r="E4" s="6"/>
    </row>
    <row r="5" spans="1:5">
      <c r="A5" s="4" t="s">
        <v>22</v>
      </c>
      <c r="B5" s="4">
        <v>76</v>
      </c>
      <c r="C5" s="4">
        <v>1</v>
      </c>
      <c r="D5" s="4">
        <v>1</v>
      </c>
      <c r="E5" s="6"/>
    </row>
    <row r="6" spans="1:5">
      <c r="A6" s="4" t="s">
        <v>24</v>
      </c>
      <c r="B6" s="4">
        <v>100</v>
      </c>
      <c r="C6" s="4">
        <v>1</v>
      </c>
      <c r="D6" s="4">
        <v>1</v>
      </c>
      <c r="E6" s="6"/>
    </row>
    <row r="7" spans="1:5">
      <c r="A7" s="4" t="s">
        <v>26</v>
      </c>
      <c r="B7" s="4">
        <v>80</v>
      </c>
      <c r="C7" s="4">
        <v>0</v>
      </c>
      <c r="D7" s="4">
        <v>1</v>
      </c>
      <c r="E7" s="6"/>
    </row>
    <row r="8" spans="1:5">
      <c r="A8" s="4" t="s">
        <v>28</v>
      </c>
      <c r="B8" s="4">
        <v>75</v>
      </c>
      <c r="C8" s="4">
        <v>0</v>
      </c>
      <c r="D8" s="4">
        <v>1</v>
      </c>
      <c r="E8" s="6"/>
    </row>
    <row r="9" spans="1:5">
      <c r="A9" s="4" t="s">
        <v>30</v>
      </c>
      <c r="B9" s="4">
        <v>75</v>
      </c>
      <c r="C9" s="4">
        <v>0</v>
      </c>
      <c r="D9" s="4">
        <v>1</v>
      </c>
      <c r="E9" s="6"/>
    </row>
    <row r="10" spans="1:5">
      <c r="A10" s="4" t="s">
        <v>32</v>
      </c>
      <c r="B10" s="4">
        <v>80</v>
      </c>
      <c r="C10" s="4">
        <v>0</v>
      </c>
      <c r="D10" s="4">
        <v>1</v>
      </c>
      <c r="E10" s="6"/>
    </row>
    <row r="11" spans="1:5">
      <c r="A11" s="4" t="s">
        <v>34</v>
      </c>
      <c r="B11" s="4">
        <v>75</v>
      </c>
      <c r="C11" s="4">
        <v>0</v>
      </c>
      <c r="D11" s="4">
        <v>1</v>
      </c>
      <c r="E11" s="6"/>
    </row>
    <row r="12" spans="1:5">
      <c r="A12" s="4" t="s">
        <v>36</v>
      </c>
      <c r="B12" s="4">
        <v>89</v>
      </c>
      <c r="C12" s="4">
        <v>0</v>
      </c>
      <c r="D12" s="4">
        <v>1</v>
      </c>
      <c r="E12" s="6"/>
    </row>
    <row r="13" spans="1:5">
      <c r="A13" s="4" t="s">
        <v>38</v>
      </c>
      <c r="B13" s="4">
        <v>73</v>
      </c>
      <c r="C13" s="4">
        <v>1</v>
      </c>
      <c r="D13" s="4">
        <v>0</v>
      </c>
      <c r="E13" s="6"/>
    </row>
    <row r="14" spans="1:5">
      <c r="A14" s="4" t="s">
        <v>40</v>
      </c>
      <c r="B14" s="4">
        <v>90</v>
      </c>
      <c r="C14" s="4">
        <v>0</v>
      </c>
      <c r="D14" s="4">
        <v>1</v>
      </c>
      <c r="E14" s="6"/>
    </row>
    <row r="15" spans="1:5">
      <c r="A15" s="4" t="s">
        <v>42</v>
      </c>
      <c r="B15" s="4">
        <v>77</v>
      </c>
      <c r="C15" s="4">
        <v>0</v>
      </c>
      <c r="D15" s="4">
        <v>1</v>
      </c>
      <c r="E15" s="6"/>
    </row>
    <row r="16" spans="1:5">
      <c r="A16" s="4" t="s">
        <v>44</v>
      </c>
      <c r="B16" s="4">
        <v>80</v>
      </c>
      <c r="C16" s="4">
        <v>1</v>
      </c>
      <c r="D16" s="4">
        <v>1</v>
      </c>
      <c r="E16" s="6"/>
    </row>
    <row r="17" spans="1:5">
      <c r="A17" s="4" t="s">
        <v>45</v>
      </c>
      <c r="B17" s="4">
        <v>97</v>
      </c>
      <c r="C17" s="4">
        <v>0</v>
      </c>
      <c r="D17" s="4">
        <v>1</v>
      </c>
      <c r="E17" s="6"/>
    </row>
    <row r="18" spans="1:5">
      <c r="A18" s="4" t="s">
        <v>47</v>
      </c>
      <c r="B18" s="4">
        <v>94</v>
      </c>
      <c r="C18" s="4">
        <v>1</v>
      </c>
      <c r="D18" s="4">
        <v>1</v>
      </c>
      <c r="E18" s="6"/>
    </row>
    <row r="19" spans="1:5">
      <c r="A19" s="4" t="s">
        <v>48</v>
      </c>
      <c r="B19" s="4">
        <v>96</v>
      </c>
      <c r="C19" s="4">
        <v>1</v>
      </c>
      <c r="D19" s="4">
        <v>1</v>
      </c>
      <c r="E19" s="6"/>
    </row>
    <row r="20" spans="1:5">
      <c r="A20" s="4" t="s">
        <v>50</v>
      </c>
      <c r="B20" s="4">
        <v>70</v>
      </c>
      <c r="C20" s="4">
        <v>0</v>
      </c>
      <c r="D20" s="4">
        <v>0</v>
      </c>
      <c r="E20" s="6"/>
    </row>
    <row r="21" spans="1:5">
      <c r="A21" s="4" t="s">
        <v>51</v>
      </c>
      <c r="B21" s="4">
        <v>78</v>
      </c>
      <c r="C21" s="4">
        <v>1</v>
      </c>
      <c r="D21" s="4">
        <v>1</v>
      </c>
      <c r="E21" s="6"/>
    </row>
    <row r="22" spans="1:5">
      <c r="A22" s="4" t="s">
        <v>52</v>
      </c>
      <c r="B22" s="4">
        <v>94</v>
      </c>
      <c r="C22" s="4">
        <v>0</v>
      </c>
      <c r="D22" s="4">
        <v>1</v>
      </c>
      <c r="E22" s="6"/>
    </row>
    <row r="23" spans="1:5">
      <c r="A23" s="4" t="s">
        <v>53</v>
      </c>
      <c r="B23" s="4">
        <v>95</v>
      </c>
      <c r="C23" s="4">
        <v>0</v>
      </c>
      <c r="D23" s="4">
        <v>1</v>
      </c>
      <c r="E23" s="6"/>
    </row>
    <row r="24" spans="1:5">
      <c r="A24" s="4" t="s">
        <v>55</v>
      </c>
      <c r="B24" s="4">
        <v>82</v>
      </c>
      <c r="C24" s="4">
        <v>0</v>
      </c>
      <c r="D24" s="4">
        <v>1</v>
      </c>
      <c r="E24" s="6"/>
    </row>
    <row r="25" spans="1:5">
      <c r="A25" s="4" t="s">
        <v>56</v>
      </c>
      <c r="B25" s="4">
        <v>100</v>
      </c>
      <c r="C25" s="4">
        <v>0</v>
      </c>
      <c r="D25" s="4">
        <v>1</v>
      </c>
      <c r="E25" s="6"/>
    </row>
    <row r="26" spans="1:5">
      <c r="A26" s="4" t="s">
        <v>57</v>
      </c>
      <c r="B26" s="4">
        <v>87</v>
      </c>
      <c r="C26" s="4">
        <v>1</v>
      </c>
      <c r="D26" s="4">
        <v>1</v>
      </c>
      <c r="E26" s="6"/>
    </row>
    <row r="27" spans="1:5">
      <c r="A27" s="4" t="s">
        <v>58</v>
      </c>
      <c r="B27" s="4">
        <v>83</v>
      </c>
      <c r="C27" s="4">
        <v>1</v>
      </c>
      <c r="D27" s="4">
        <v>1</v>
      </c>
      <c r="E27" s="6"/>
    </row>
    <row r="28" spans="1:5">
      <c r="A28" s="4" t="s">
        <v>59</v>
      </c>
      <c r="B28" s="4">
        <v>83</v>
      </c>
      <c r="C28" s="4">
        <v>1</v>
      </c>
      <c r="D28" s="4">
        <v>1</v>
      </c>
      <c r="E28" s="6"/>
    </row>
    <row r="29" spans="1:5">
      <c r="A29" s="4" t="s">
        <v>60</v>
      </c>
      <c r="B29" s="4">
        <v>85</v>
      </c>
      <c r="C29" s="4">
        <v>0</v>
      </c>
      <c r="D29" s="4">
        <v>1</v>
      </c>
      <c r="E29" s="6"/>
    </row>
    <row r="30" spans="1:5">
      <c r="A30" s="4" t="s">
        <v>62</v>
      </c>
      <c r="B30" s="4">
        <v>89</v>
      </c>
      <c r="C30" s="4">
        <v>1</v>
      </c>
      <c r="D30" s="4">
        <v>1</v>
      </c>
      <c r="E30" s="6"/>
    </row>
    <row r="31" spans="1:5">
      <c r="A31" s="4" t="s">
        <v>64</v>
      </c>
      <c r="B31" s="4">
        <v>90</v>
      </c>
      <c r="C31" s="4">
        <v>0</v>
      </c>
      <c r="D31" s="4">
        <v>1</v>
      </c>
      <c r="E31" s="6"/>
    </row>
    <row r="32" spans="1:5">
      <c r="A32" s="4" t="s">
        <v>65</v>
      </c>
      <c r="B32" s="4">
        <v>71</v>
      </c>
      <c r="C32" s="4">
        <v>0</v>
      </c>
      <c r="D32" s="4">
        <v>0</v>
      </c>
      <c r="E32" s="6"/>
    </row>
    <row r="33" spans="1:5">
      <c r="A33" s="4" t="s">
        <v>67</v>
      </c>
      <c r="B33" s="4">
        <v>91</v>
      </c>
      <c r="C33" s="4">
        <v>0</v>
      </c>
      <c r="D33" s="4">
        <v>1</v>
      </c>
      <c r="E33" s="6"/>
    </row>
    <row r="34" spans="1:5">
      <c r="A34" s="4" t="s">
        <v>69</v>
      </c>
      <c r="B34" s="4">
        <v>84</v>
      </c>
      <c r="C34" s="4">
        <v>0</v>
      </c>
      <c r="D34" s="4">
        <v>1</v>
      </c>
      <c r="E34" s="6"/>
    </row>
    <row r="35" spans="1:5">
      <c r="A35" s="4" t="s">
        <v>70</v>
      </c>
      <c r="B35" s="4">
        <v>95</v>
      </c>
      <c r="C35" s="4">
        <v>1</v>
      </c>
      <c r="D35" s="4">
        <v>1</v>
      </c>
      <c r="E35" s="6"/>
    </row>
    <row r="36" spans="1:5">
      <c r="A36" s="4" t="s">
        <v>71</v>
      </c>
      <c r="B36" s="4">
        <v>91</v>
      </c>
      <c r="C36" s="4">
        <v>0</v>
      </c>
      <c r="D36" s="4">
        <v>1</v>
      </c>
      <c r="E36" s="6"/>
    </row>
    <row r="37" spans="1:5">
      <c r="A37" s="4" t="s">
        <v>72</v>
      </c>
      <c r="B37" s="4">
        <v>94</v>
      </c>
      <c r="C37" s="4">
        <v>1</v>
      </c>
      <c r="D37" s="4">
        <v>1</v>
      </c>
      <c r="E37" s="6"/>
    </row>
    <row r="38" spans="1:5">
      <c r="A38" s="4" t="s">
        <v>73</v>
      </c>
      <c r="B38" s="4">
        <v>81</v>
      </c>
      <c r="C38" s="4">
        <v>0</v>
      </c>
      <c r="D38" s="4">
        <v>1</v>
      </c>
      <c r="E38" s="6"/>
    </row>
    <row r="39" spans="1:5">
      <c r="A39" s="4" t="s">
        <v>74</v>
      </c>
      <c r="B39" s="4">
        <v>84</v>
      </c>
      <c r="C39" s="4">
        <v>0</v>
      </c>
      <c r="D39" s="4">
        <v>1</v>
      </c>
      <c r="E39" s="6"/>
    </row>
    <row r="40" spans="1:5">
      <c r="A40" s="4" t="s">
        <v>75</v>
      </c>
      <c r="B40" s="4">
        <v>77</v>
      </c>
      <c r="C40" s="4">
        <v>0</v>
      </c>
      <c r="D40" s="4">
        <v>1</v>
      </c>
      <c r="E40" s="6"/>
    </row>
    <row r="41" spans="1:5">
      <c r="A41" s="4" t="s">
        <v>77</v>
      </c>
      <c r="B41" s="4">
        <v>88</v>
      </c>
      <c r="C41" s="4">
        <v>0</v>
      </c>
      <c r="D41" s="4">
        <v>1</v>
      </c>
      <c r="E41" s="6"/>
    </row>
    <row r="42" spans="1:5">
      <c r="A42" s="4" t="s">
        <v>78</v>
      </c>
      <c r="B42" s="4">
        <v>78</v>
      </c>
      <c r="C42" s="4">
        <v>1</v>
      </c>
      <c r="D42" s="4">
        <v>1</v>
      </c>
      <c r="E42" s="6"/>
    </row>
    <row r="43" spans="1:5">
      <c r="A43" s="4" t="s">
        <v>79</v>
      </c>
      <c r="B43" s="4">
        <v>71</v>
      </c>
      <c r="C43" s="4">
        <v>0</v>
      </c>
      <c r="D43" s="4">
        <v>0</v>
      </c>
      <c r="E43" s="6"/>
    </row>
    <row r="44" spans="1:5">
      <c r="A44" s="4" t="s">
        <v>80</v>
      </c>
      <c r="B44" s="4">
        <v>90</v>
      </c>
      <c r="C44" s="4">
        <v>0</v>
      </c>
      <c r="D44" s="4">
        <v>1</v>
      </c>
      <c r="E44" s="6"/>
    </row>
    <row r="45" spans="1:5">
      <c r="A45" s="4" t="s">
        <v>81</v>
      </c>
      <c r="B45" s="4">
        <v>89</v>
      </c>
      <c r="C45" s="4">
        <v>1</v>
      </c>
      <c r="D45" s="4">
        <v>1</v>
      </c>
      <c r="E45" s="6"/>
    </row>
    <row r="46" spans="1:5">
      <c r="A46" s="4" t="s">
        <v>82</v>
      </c>
      <c r="B46" s="4">
        <v>77</v>
      </c>
      <c r="C46" s="4">
        <v>0</v>
      </c>
      <c r="D46" s="4">
        <v>1</v>
      </c>
      <c r="E46" s="6"/>
    </row>
    <row r="47" spans="1:5">
      <c r="A47" s="4" t="s">
        <v>83</v>
      </c>
      <c r="B47" s="4">
        <v>80</v>
      </c>
      <c r="C47" s="4">
        <v>0</v>
      </c>
      <c r="D47" s="4">
        <v>1</v>
      </c>
      <c r="E47" s="6"/>
    </row>
    <row r="48" spans="1:5">
      <c r="A48" s="4" t="s">
        <v>84</v>
      </c>
      <c r="B48" s="4">
        <v>80</v>
      </c>
      <c r="C48" s="4">
        <v>0</v>
      </c>
      <c r="D48" s="4">
        <v>1</v>
      </c>
      <c r="E48" s="6"/>
    </row>
    <row r="49" spans="1:5">
      <c r="A49" s="4" t="s">
        <v>85</v>
      </c>
      <c r="B49" s="4">
        <v>94</v>
      </c>
      <c r="C49" s="4">
        <v>1</v>
      </c>
      <c r="D49" s="4">
        <v>1</v>
      </c>
      <c r="E49" s="6"/>
    </row>
    <row r="50" spans="1:5">
      <c r="A50" s="4" t="s">
        <v>86</v>
      </c>
      <c r="B50" s="4">
        <v>95</v>
      </c>
      <c r="C50" s="4">
        <v>0</v>
      </c>
      <c r="D50" s="4">
        <v>1</v>
      </c>
      <c r="E50" s="6"/>
    </row>
    <row r="51" spans="1:5">
      <c r="A51" s="4" t="s">
        <v>88</v>
      </c>
      <c r="B51" s="4">
        <v>83</v>
      </c>
      <c r="C51" s="4">
        <v>1</v>
      </c>
      <c r="D51" s="4">
        <v>1</v>
      </c>
      <c r="E51" s="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003F-7A90-48BB-9C06-C54C044E9FDE}">
  <dimension ref="A1:B9"/>
  <sheetViews>
    <sheetView workbookViewId="0">
      <selection activeCell="D2" sqref="D2"/>
    </sheetView>
  </sheetViews>
  <sheetFormatPr defaultRowHeight="14.45"/>
  <cols>
    <col min="1" max="1" width="31.42578125" customWidth="1"/>
    <col min="2" max="2" width="11.28515625" customWidth="1"/>
    <col min="3" max="3" width="8.7109375" customWidth="1"/>
  </cols>
  <sheetData>
    <row r="1" spans="1:2">
      <c r="A1" s="5" t="s">
        <v>95</v>
      </c>
      <c r="B1" s="4">
        <v>4.8823999999999996</v>
      </c>
    </row>
    <row r="2" spans="1:2">
      <c r="A2" s="5" t="s">
        <v>96</v>
      </c>
      <c r="B2" s="4">
        <v>4.9927999999999999</v>
      </c>
    </row>
    <row r="8" spans="1:2">
      <c r="A8" s="1"/>
    </row>
    <row r="9" spans="1:2">
      <c r="A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2025-10-31T18:13:28Z</dcterms:created>
  <dcterms:modified xsi:type="dcterms:W3CDTF">2025-11-03T07:09:36Z</dcterms:modified>
  <cp:category/>
  <cp:contentStatus/>
</cp:coreProperties>
</file>